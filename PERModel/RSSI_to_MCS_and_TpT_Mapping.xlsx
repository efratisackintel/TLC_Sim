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efrat_isack_intel_com/Documents/Desktop/Efrat/TLC_Sim/PERModel/"/>
    </mc:Choice>
  </mc:AlternateContent>
  <xr:revisionPtr revIDLastSave="58" documentId="11_113BDC59A7D19EA1F6CF7A896053802B3E124F51" xr6:coauthVersionLast="47" xr6:coauthVersionMax="47" xr10:uidLastSave="{D2BC3BE9-05D5-42B0-9030-8B494A03579E}"/>
  <bookViews>
    <workbookView xWindow="-110" yWindow="-110" windowWidth="25820" windowHeight="13900" firstSheet="9" activeTab="16" xr2:uid="{00000000-000D-0000-FFFF-FFFF00000000}"/>
  </bookViews>
  <sheets>
    <sheet name="Overview" sheetId="1" r:id="rId1"/>
    <sheet name="Legacy 11g-11a-11bg" sheetId="2" r:id="rId2"/>
    <sheet name="HT 20MHz" sheetId="3" r:id="rId3"/>
    <sheet name="HT 40MHz" sheetId="4" r:id="rId4"/>
    <sheet name="VHT 20MHz" sheetId="5" r:id="rId5"/>
    <sheet name="VHT 40MHz" sheetId="6" r:id="rId6"/>
    <sheet name="VHT 80MHz" sheetId="7" r:id="rId7"/>
    <sheet name="VHT 160MHz" sheetId="8" r:id="rId8"/>
    <sheet name="HE 20MHz" sheetId="9" r:id="rId9"/>
    <sheet name="HE 40MHz" sheetId="10" r:id="rId10"/>
    <sheet name="HE 80MHz" sheetId="11" r:id="rId11"/>
    <sheet name="HE 160MHz" sheetId="12" r:id="rId12"/>
    <sheet name="EHT 20MHz" sheetId="13" r:id="rId13"/>
    <sheet name="EHT 40MHz" sheetId="14" r:id="rId14"/>
    <sheet name="EHT 80MHz" sheetId="15" r:id="rId15"/>
    <sheet name="EHT 160MHz" sheetId="16" r:id="rId16"/>
    <sheet name="EHT 320MHz" sheetId="17" r:id="rId17"/>
    <sheet name="UHR 20MHz" sheetId="18" r:id="rId18"/>
    <sheet name="UHR 40MHz" sheetId="19" r:id="rId19"/>
    <sheet name="UHR 80MHz" sheetId="20" r:id="rId20"/>
    <sheet name="UHR 160MHz" sheetId="21" r:id="rId21"/>
    <sheet name="UHR 320MHz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7" l="1"/>
  <c r="A32" i="17"/>
  <c r="A33" i="17" s="1"/>
</calcChain>
</file>

<file path=xl/sharedStrings.xml><?xml version="1.0" encoding="utf-8"?>
<sst xmlns="http://schemas.openxmlformats.org/spreadsheetml/2006/main" count="444" uniqueCount="105">
  <si>
    <t>RSSI to MCS and TpT Mapping</t>
  </si>
  <si>
    <t>Source</t>
  </si>
  <si>
    <t>RSSI to MCS Mapping SAS.docm</t>
  </si>
  <si>
    <t>Date</t>
  </si>
  <si>
    <t>2025-02-19</t>
  </si>
  <si>
    <t>Owner</t>
  </si>
  <si>
    <t>iouzieli</t>
  </si>
  <si>
    <t>Mapping Tables</t>
  </si>
  <si>
    <t>#</t>
  </si>
  <si>
    <t>Table</t>
  </si>
  <si>
    <t>Requirement ID</t>
  </si>
  <si>
    <t>Sheet</t>
  </si>
  <si>
    <t>Legacy 11g-11a-11bg</t>
  </si>
  <si>
    <t>WREQ-369696</t>
  </si>
  <si>
    <t>HT 20MHz</t>
  </si>
  <si>
    <t>WREQ-369697</t>
  </si>
  <si>
    <t>HT 40MHz</t>
  </si>
  <si>
    <t>WREQ-369698</t>
  </si>
  <si>
    <t>VHT 20MHz</t>
  </si>
  <si>
    <t>WREQ-369699</t>
  </si>
  <si>
    <t>VHT 40MHz</t>
  </si>
  <si>
    <t>WREQ-369700</t>
  </si>
  <si>
    <t>VHT 80MHz</t>
  </si>
  <si>
    <t>WREQ-369701</t>
  </si>
  <si>
    <t>VHT 160MHz</t>
  </si>
  <si>
    <t>WREQ-369702</t>
  </si>
  <si>
    <t>HE 20MHz</t>
  </si>
  <si>
    <t>WREQ-369703</t>
  </si>
  <si>
    <t>HE 40MHz</t>
  </si>
  <si>
    <t>WREQ-369704</t>
  </si>
  <si>
    <t>HE 80MHz</t>
  </si>
  <si>
    <t>WREQ-369705</t>
  </si>
  <si>
    <t>HE 160MHz</t>
  </si>
  <si>
    <t>WREQ-369706</t>
  </si>
  <si>
    <t>EHT 20MHz</t>
  </si>
  <si>
    <t>WREQ-369707</t>
  </si>
  <si>
    <t>EHT 40MHz</t>
  </si>
  <si>
    <t>WREQ-369708</t>
  </si>
  <si>
    <t>EHT 80MHz</t>
  </si>
  <si>
    <t>WREQ-369709</t>
  </si>
  <si>
    <t>EHT 160MHz</t>
  </si>
  <si>
    <t>WREQ-369710</t>
  </si>
  <si>
    <t>EHT 320MHz</t>
  </si>
  <si>
    <t>WREQ-369711</t>
  </si>
  <si>
    <t>UHR 20MHz</t>
  </si>
  <si>
    <t>WREQ-379258</t>
  </si>
  <si>
    <t>UHR 40MHz</t>
  </si>
  <si>
    <t>WREQ-379259</t>
  </si>
  <si>
    <t>UHR 80MHz</t>
  </si>
  <si>
    <t>WREQ-379260</t>
  </si>
  <si>
    <t>UHR 160MHz</t>
  </si>
  <si>
    <t>WREQ-379261</t>
  </si>
  <si>
    <t>UHR 320MHz</t>
  </si>
  <si>
    <t>WREQ-379262</t>
  </si>
  <si>
    <t>Legacy 11g-11a-11bg - TpT Estimation</t>
  </si>
  <si>
    <t>Requirement ID:</t>
  </si>
  <si>
    <t>RSSI</t>
  </si>
  <si>
    <t>Data rate (Mb/s)</t>
  </si>
  <si>
    <t>HT 20MHz - TpT Estimation</t>
  </si>
  <si>
    <t>For NSS=2:
For NSS=1: The results for NSS=1 are exactly the same as for NSS=2 multiplied by 0.5</t>
  </si>
  <si>
    <t>HT-MCSIndex</t>
  </si>
  <si>
    <t>800 ns GI</t>
  </si>
  <si>
    <t>400 ns GI</t>
  </si>
  <si>
    <t>MCS8 of 20MHz SISO</t>
  </si>
  <si>
    <t>HT 40MHz - TpT Estimation</t>
  </si>
  <si>
    <t>MCS8 of 20MHz</t>
  </si>
  <si>
    <t>VHT 20MHz - TpT Estimation</t>
  </si>
  <si>
    <t>MCS0 of 20MHz SISO</t>
  </si>
  <si>
    <t>VHT 40MHz - TpT Estimation</t>
  </si>
  <si>
    <t>MCS0 of 20MHz</t>
  </si>
  <si>
    <t>VHT 80MHz - TpT Estimation</t>
  </si>
  <si>
    <t>MCS0 of 40MHz</t>
  </si>
  <si>
    <t>VHT 160MHz - TpT Estimation</t>
  </si>
  <si>
    <t>MCS0 of 80MHz</t>
  </si>
  <si>
    <t>HE 20MHz - TpT Estimation</t>
  </si>
  <si>
    <t>HE-MCSIndex</t>
  </si>
  <si>
    <t>LB</t>
  </si>
  <si>
    <t>HB</t>
  </si>
  <si>
    <t>NSS=1</t>
  </si>
  <si>
    <t>NSS=2</t>
  </si>
  <si>
    <t>0.8 µsGI</t>
  </si>
  <si>
    <t>1.6 µsGI</t>
  </si>
  <si>
    <t>3.2 µsGI</t>
  </si>
  <si>
    <t>NA</t>
  </si>
  <si>
    <t>HE 40MHz - TpT Estimation</t>
  </si>
  <si>
    <t>HE 80MHz - TpT Estimation</t>
  </si>
  <si>
    <t>HE 160MHz - TpT Estimation</t>
  </si>
  <si>
    <t>EHT 20MHz - TpT Estimation</t>
  </si>
  <si>
    <t>EHT 40MHz - TpT Estimation</t>
  </si>
  <si>
    <t>EHT 80MHz - TpT Estimation</t>
  </si>
  <si>
    <t>EHT 160MHz - TpT Estimation</t>
  </si>
  <si>
    <t>EHT 320MHz - TpT Estimation</t>
  </si>
  <si>
    <t>MCS0 of 160MHz</t>
  </si>
  <si>
    <t>UHR 20MHz - TpT Estimation</t>
  </si>
  <si>
    <t>UHR 40MHz - TpT Estimation</t>
  </si>
  <si>
    <t>UHR 80MHz - TpT Estimation</t>
  </si>
  <si>
    <t>UHR 160MHz - TpT Estimation</t>
  </si>
  <si>
    <t>UHR 320MHz - TpT Estimation</t>
  </si>
  <si>
    <t>c</t>
  </si>
  <si>
    <t>bw</t>
  </si>
  <si>
    <t>Estimated RSSI</t>
  </si>
  <si>
    <t>required dbm for MCS13 from RSSI model</t>
  </si>
  <si>
    <t>require SNR for 10% per EHT 0.8us GI 320MHZ, from philip PER model</t>
  </si>
  <si>
    <t>Intel Noise figure</t>
  </si>
  <si>
    <t>Calc Noise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</si>
</sst>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name val="Calibri"/>
    </font>
    <font>
      <b/>
      <sz val="13"/>
      <color rgb="FF1F4E78"/>
      <name val="Calibri"/>
    </font>
    <font>
      <b/>
      <sz val="11"/>
      <color rgb="FFFFFFFF"/>
      <name val="Calibri"/>
    </font>
    <font>
      <u/>
      <sz val="11"/>
      <color rgb="FF0563C1"/>
      <name val="Calibri"/>
    </font>
    <font>
      <i/>
      <sz val="11"/>
      <color rgb="FF55555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 style="thin">
        <color rgb="FFBBBBBB"/>
      </bottom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0" borderId="1" xfId="0" applyBorder="1"/>
    <xf numFmtId="0" fontId="5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left" vertical="center"/>
    </xf>
    <xf numFmtId="164" fontId="0" fillId="0" borderId="0" xfId="0" applyNumberFormat="1" applyFill="1" applyBorder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7</xdr:col>
      <xdr:colOff>342900</xdr:colOff>
      <xdr:row>37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9F7F7C-F072-9E36-A6CA-5A9D28E6E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6292850"/>
          <a:ext cx="721360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selection activeCell="D24" sqref="D24"/>
    </sheetView>
  </sheetViews>
  <sheetFormatPr defaultRowHeight="14.5" x14ac:dyDescent="0.35"/>
  <cols>
    <col min="1" max="1" width="6" customWidth="1"/>
    <col min="2" max="2" width="28" customWidth="1"/>
    <col min="3" max="3" width="18" customWidth="1"/>
    <col min="4" max="4" width="22" customWidth="1"/>
  </cols>
  <sheetData>
    <row r="1" spans="1:4" ht="21" x14ac:dyDescent="0.5">
      <c r="A1" s="1" t="s">
        <v>0</v>
      </c>
    </row>
    <row r="3" spans="1:4" x14ac:dyDescent="0.35">
      <c r="A3" s="2" t="s">
        <v>1</v>
      </c>
      <c r="B3" t="s">
        <v>2</v>
      </c>
    </row>
    <row r="4" spans="1:4" x14ac:dyDescent="0.35">
      <c r="A4" s="2" t="s">
        <v>3</v>
      </c>
      <c r="B4" t="s">
        <v>4</v>
      </c>
    </row>
    <row r="5" spans="1:4" x14ac:dyDescent="0.35">
      <c r="A5" s="2" t="s">
        <v>5</v>
      </c>
      <c r="B5" t="s">
        <v>6</v>
      </c>
    </row>
    <row r="7" spans="1:4" ht="17" x14ac:dyDescent="0.4">
      <c r="A7" s="3" t="s">
        <v>7</v>
      </c>
    </row>
    <row r="8" spans="1:4" x14ac:dyDescent="0.35">
      <c r="A8" s="4" t="s">
        <v>8</v>
      </c>
      <c r="B8" s="4" t="s">
        <v>9</v>
      </c>
      <c r="C8" s="4" t="s">
        <v>10</v>
      </c>
      <c r="D8" s="4" t="s">
        <v>11</v>
      </c>
    </row>
    <row r="9" spans="1:4" x14ac:dyDescent="0.35">
      <c r="A9" s="5">
        <v>1</v>
      </c>
      <c r="B9" s="5" t="s">
        <v>12</v>
      </c>
      <c r="C9" s="5" t="s">
        <v>13</v>
      </c>
      <c r="D9" s="6" t="s">
        <v>12</v>
      </c>
    </row>
    <row r="10" spans="1:4" x14ac:dyDescent="0.35">
      <c r="A10" s="5">
        <v>2</v>
      </c>
      <c r="B10" s="5" t="s">
        <v>14</v>
      </c>
      <c r="C10" s="5" t="s">
        <v>15</v>
      </c>
      <c r="D10" s="6" t="s">
        <v>14</v>
      </c>
    </row>
    <row r="11" spans="1:4" x14ac:dyDescent="0.35">
      <c r="A11" s="5">
        <v>3</v>
      </c>
      <c r="B11" s="5" t="s">
        <v>16</v>
      </c>
      <c r="C11" s="5" t="s">
        <v>17</v>
      </c>
      <c r="D11" s="6" t="s">
        <v>16</v>
      </c>
    </row>
    <row r="12" spans="1:4" x14ac:dyDescent="0.35">
      <c r="A12" s="5">
        <v>4</v>
      </c>
      <c r="B12" s="5" t="s">
        <v>18</v>
      </c>
      <c r="C12" s="5" t="s">
        <v>19</v>
      </c>
      <c r="D12" s="6" t="s">
        <v>18</v>
      </c>
    </row>
    <row r="13" spans="1:4" x14ac:dyDescent="0.35">
      <c r="A13" s="5">
        <v>5</v>
      </c>
      <c r="B13" s="5" t="s">
        <v>20</v>
      </c>
      <c r="C13" s="5" t="s">
        <v>21</v>
      </c>
      <c r="D13" s="6" t="s">
        <v>20</v>
      </c>
    </row>
    <row r="14" spans="1:4" x14ac:dyDescent="0.35">
      <c r="A14" s="5">
        <v>6</v>
      </c>
      <c r="B14" s="5" t="s">
        <v>22</v>
      </c>
      <c r="C14" s="5" t="s">
        <v>23</v>
      </c>
      <c r="D14" s="6" t="s">
        <v>22</v>
      </c>
    </row>
    <row r="15" spans="1:4" x14ac:dyDescent="0.35">
      <c r="A15" s="5">
        <v>7</v>
      </c>
      <c r="B15" s="5" t="s">
        <v>24</v>
      </c>
      <c r="C15" s="5" t="s">
        <v>25</v>
      </c>
      <c r="D15" s="6" t="s">
        <v>24</v>
      </c>
    </row>
    <row r="16" spans="1:4" x14ac:dyDescent="0.35">
      <c r="A16" s="5">
        <v>8</v>
      </c>
      <c r="B16" s="5" t="s">
        <v>26</v>
      </c>
      <c r="C16" s="5" t="s">
        <v>27</v>
      </c>
      <c r="D16" s="6" t="s">
        <v>26</v>
      </c>
    </row>
    <row r="17" spans="1:4" x14ac:dyDescent="0.35">
      <c r="A17" s="5">
        <v>9</v>
      </c>
      <c r="B17" s="5" t="s">
        <v>28</v>
      </c>
      <c r="C17" s="5" t="s">
        <v>29</v>
      </c>
      <c r="D17" s="6" t="s">
        <v>28</v>
      </c>
    </row>
    <row r="18" spans="1:4" x14ac:dyDescent="0.35">
      <c r="A18" s="5">
        <v>10</v>
      </c>
      <c r="B18" s="5" t="s">
        <v>30</v>
      </c>
      <c r="C18" s="5" t="s">
        <v>31</v>
      </c>
      <c r="D18" s="6" t="s">
        <v>30</v>
      </c>
    </row>
    <row r="19" spans="1:4" x14ac:dyDescent="0.35">
      <c r="A19" s="5">
        <v>11</v>
      </c>
      <c r="B19" s="5" t="s">
        <v>32</v>
      </c>
      <c r="C19" s="5" t="s">
        <v>33</v>
      </c>
      <c r="D19" s="6" t="s">
        <v>32</v>
      </c>
    </row>
    <row r="20" spans="1:4" x14ac:dyDescent="0.35">
      <c r="A20" s="5">
        <v>12</v>
      </c>
      <c r="B20" s="5" t="s">
        <v>34</v>
      </c>
      <c r="C20" s="5" t="s">
        <v>35</v>
      </c>
      <c r="D20" s="6" t="s">
        <v>34</v>
      </c>
    </row>
    <row r="21" spans="1:4" x14ac:dyDescent="0.35">
      <c r="A21" s="5">
        <v>13</v>
      </c>
      <c r="B21" s="5" t="s">
        <v>36</v>
      </c>
      <c r="C21" s="5" t="s">
        <v>37</v>
      </c>
      <c r="D21" s="6" t="s">
        <v>36</v>
      </c>
    </row>
    <row r="22" spans="1:4" x14ac:dyDescent="0.35">
      <c r="A22" s="5">
        <v>14</v>
      </c>
      <c r="B22" s="5" t="s">
        <v>38</v>
      </c>
      <c r="C22" s="5" t="s">
        <v>39</v>
      </c>
      <c r="D22" s="6" t="s">
        <v>38</v>
      </c>
    </row>
    <row r="23" spans="1:4" x14ac:dyDescent="0.35">
      <c r="A23" s="5">
        <v>15</v>
      </c>
      <c r="B23" s="5" t="s">
        <v>40</v>
      </c>
      <c r="C23" s="5" t="s">
        <v>41</v>
      </c>
      <c r="D23" s="6" t="s">
        <v>40</v>
      </c>
    </row>
    <row r="24" spans="1:4" x14ac:dyDescent="0.35">
      <c r="A24" s="5">
        <v>16</v>
      </c>
      <c r="B24" s="5" t="s">
        <v>42</v>
      </c>
      <c r="C24" s="5" t="s">
        <v>43</v>
      </c>
      <c r="D24" s="6" t="s">
        <v>42</v>
      </c>
    </row>
    <row r="25" spans="1:4" x14ac:dyDescent="0.35">
      <c r="A25" s="5">
        <v>17</v>
      </c>
      <c r="B25" s="5" t="s">
        <v>44</v>
      </c>
      <c r="C25" s="5" t="s">
        <v>45</v>
      </c>
      <c r="D25" s="6" t="s">
        <v>44</v>
      </c>
    </row>
    <row r="26" spans="1:4" x14ac:dyDescent="0.35">
      <c r="A26" s="5">
        <v>18</v>
      </c>
      <c r="B26" s="5" t="s">
        <v>46</v>
      </c>
      <c r="C26" s="5" t="s">
        <v>47</v>
      </c>
      <c r="D26" s="6" t="s">
        <v>46</v>
      </c>
    </row>
    <row r="27" spans="1:4" x14ac:dyDescent="0.35">
      <c r="A27" s="5">
        <v>19</v>
      </c>
      <c r="B27" s="5" t="s">
        <v>48</v>
      </c>
      <c r="C27" s="5" t="s">
        <v>49</v>
      </c>
      <c r="D27" s="6" t="s">
        <v>48</v>
      </c>
    </row>
    <row r="28" spans="1:4" x14ac:dyDescent="0.35">
      <c r="A28" s="5">
        <v>20</v>
      </c>
      <c r="B28" s="5" t="s">
        <v>50</v>
      </c>
      <c r="C28" s="5" t="s">
        <v>51</v>
      </c>
      <c r="D28" s="6" t="s">
        <v>50</v>
      </c>
    </row>
    <row r="29" spans="1:4" x14ac:dyDescent="0.35">
      <c r="A29" s="5">
        <v>21</v>
      </c>
      <c r="B29" s="5" t="s">
        <v>52</v>
      </c>
      <c r="C29" s="5" t="s">
        <v>53</v>
      </c>
      <c r="D29" s="6" t="s">
        <v>52</v>
      </c>
    </row>
  </sheetData>
  <hyperlinks>
    <hyperlink ref="D9" location="'Legacy 11g-11a-11bg'!A1" display="Legacy 11g-11a-11bg" xr:uid="{00000000-0004-0000-0000-000000000000}"/>
    <hyperlink ref="D10" location="'HT 20MHz'!A1" display="HT 20MHz" xr:uid="{00000000-0004-0000-0000-000001000000}"/>
    <hyperlink ref="D11" location="'HT 40MHz'!A1" display="HT 40MHz" xr:uid="{00000000-0004-0000-0000-000002000000}"/>
    <hyperlink ref="D12" location="'VHT 20MHz'!A1" display="VHT 20MHz" xr:uid="{00000000-0004-0000-0000-000003000000}"/>
    <hyperlink ref="D13" location="'VHT 40MHz'!A1" display="VHT 40MHz" xr:uid="{00000000-0004-0000-0000-000004000000}"/>
    <hyperlink ref="D14" location="'VHT 80MHz'!A1" display="VHT 80MHz" xr:uid="{00000000-0004-0000-0000-000005000000}"/>
    <hyperlink ref="D15" location="'VHT 160MHz'!A1" display="VHT 160MHz" xr:uid="{00000000-0004-0000-0000-000006000000}"/>
    <hyperlink ref="D16" location="'HE 20MHz'!A1" display="HE 20MHz" xr:uid="{00000000-0004-0000-0000-000007000000}"/>
    <hyperlink ref="D17" location="'HE 40MHz'!A1" display="HE 40MHz" xr:uid="{00000000-0004-0000-0000-000008000000}"/>
    <hyperlink ref="D18" location="'HE 80MHz'!A1" display="HE 80MHz" xr:uid="{00000000-0004-0000-0000-000009000000}"/>
    <hyperlink ref="D19" location="'HE 160MHz'!A1" display="HE 160MHz" xr:uid="{00000000-0004-0000-0000-00000A000000}"/>
    <hyperlink ref="D20" location="'EHT 20MHz'!A1" display="EHT 20MHz" xr:uid="{00000000-0004-0000-0000-00000B000000}"/>
    <hyperlink ref="D21" location="'EHT 40MHz'!A1" display="EHT 40MHz" xr:uid="{00000000-0004-0000-0000-00000C000000}"/>
    <hyperlink ref="D22" location="'EHT 80MHz'!A1" display="EHT 80MHz" xr:uid="{00000000-0004-0000-0000-00000D000000}"/>
    <hyperlink ref="D23" location="'EHT 160MHz'!A1" display="EHT 160MHz" xr:uid="{00000000-0004-0000-0000-00000E000000}"/>
    <hyperlink ref="D24" location="'EHT 320MHz'!A1" display="EHT 320MHz" xr:uid="{00000000-0004-0000-0000-00000F000000}"/>
    <hyperlink ref="D25" location="'UHR 20MHz'!A1" display="UHR 20MHz" xr:uid="{00000000-0004-0000-0000-000010000000}"/>
    <hyperlink ref="D26" location="'UHR 40MHz'!A1" display="UHR 40MHz" xr:uid="{00000000-0004-0000-0000-000011000000}"/>
    <hyperlink ref="D27" location="'UHR 80MHz'!A1" display="UHR 80MHz" xr:uid="{00000000-0004-0000-0000-000012000000}"/>
    <hyperlink ref="D28" location="'UHR 160MHz'!A1" display="UHR 160MHz" xr:uid="{00000000-0004-0000-0000-000013000000}"/>
    <hyperlink ref="D29" location="'UHR 320MHz'!A1" display="UHR 320MHz" xr:uid="{00000000-0004-0000-0000-00001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5" topLeftCell="A6" activePane="bottomLeft" state="frozen"/>
      <selection pane="bottomLeft"/>
    </sheetView>
  </sheetViews>
  <sheetFormatPr defaultRowHeight="14.5" x14ac:dyDescent="0.35"/>
  <cols>
    <col min="1" max="1" width="10" customWidth="1"/>
    <col min="2" max="2" width="16" customWidth="1"/>
  </cols>
  <sheetData>
    <row r="1" spans="1:2" ht="17" x14ac:dyDescent="0.4">
      <c r="A1" s="3" t="s">
        <v>54</v>
      </c>
    </row>
    <row r="2" spans="1:2" x14ac:dyDescent="0.35">
      <c r="A2" s="2" t="s">
        <v>55</v>
      </c>
      <c r="B2" t="s">
        <v>13</v>
      </c>
    </row>
    <row r="4" spans="1:2" x14ac:dyDescent="0.35">
      <c r="A4" s="7" t="s">
        <v>56</v>
      </c>
      <c r="B4" s="7" t="s">
        <v>57</v>
      </c>
    </row>
    <row r="5" spans="1:2" x14ac:dyDescent="0.35">
      <c r="A5" s="7"/>
      <c r="B5" s="7"/>
    </row>
    <row r="6" spans="1:2" x14ac:dyDescent="0.35">
      <c r="A6" s="8">
        <v>-92</v>
      </c>
      <c r="B6" s="8">
        <v>6</v>
      </c>
    </row>
    <row r="7" spans="1:2" x14ac:dyDescent="0.35">
      <c r="A7" s="8">
        <v>-90</v>
      </c>
      <c r="B7" s="8">
        <v>9</v>
      </c>
    </row>
    <row r="8" spans="1:2" x14ac:dyDescent="0.35">
      <c r="A8" s="8">
        <v>-89</v>
      </c>
      <c r="B8" s="8">
        <v>12</v>
      </c>
    </row>
    <row r="9" spans="1:2" x14ac:dyDescent="0.35">
      <c r="A9" s="8">
        <v>-86</v>
      </c>
      <c r="B9" s="8">
        <v>18</v>
      </c>
    </row>
    <row r="10" spans="1:2" x14ac:dyDescent="0.35">
      <c r="A10" s="8">
        <v>-82.5</v>
      </c>
      <c r="B10" s="8">
        <v>24</v>
      </c>
    </row>
    <row r="11" spans="1:2" x14ac:dyDescent="0.35">
      <c r="A11" s="8">
        <v>-79</v>
      </c>
      <c r="B11" s="8">
        <v>36</v>
      </c>
    </row>
    <row r="12" spans="1:2" x14ac:dyDescent="0.35">
      <c r="A12" s="8">
        <v>-73</v>
      </c>
      <c r="B12" s="8">
        <v>48</v>
      </c>
    </row>
    <row r="13" spans="1:2" x14ac:dyDescent="0.35">
      <c r="A13" s="8">
        <v>-71.5</v>
      </c>
      <c r="B13" s="8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pane ySplit="6" topLeftCell="A7" activePane="bottomLeft" state="frozen"/>
      <selection pane="bottomLeft"/>
    </sheetView>
  </sheetViews>
  <sheetFormatPr defaultRowHeight="14.5" x14ac:dyDescent="0.35"/>
  <cols>
    <col min="1" max="1" width="10" customWidth="1"/>
    <col min="2" max="4" width="16" customWidth="1"/>
  </cols>
  <sheetData>
    <row r="1" spans="1:4" ht="17" x14ac:dyDescent="0.4">
      <c r="A1" s="3" t="s">
        <v>58</v>
      </c>
    </row>
    <row r="2" spans="1:4" x14ac:dyDescent="0.35">
      <c r="A2" s="2" t="s">
        <v>55</v>
      </c>
      <c r="B2" t="s">
        <v>15</v>
      </c>
    </row>
    <row r="3" spans="1:4" x14ac:dyDescent="0.35">
      <c r="A3" s="9" t="s">
        <v>59</v>
      </c>
    </row>
    <row r="5" spans="1:4" x14ac:dyDescent="0.35">
      <c r="A5" s="7" t="s">
        <v>56</v>
      </c>
      <c r="B5" s="7" t="s">
        <v>60</v>
      </c>
      <c r="C5" s="7" t="s">
        <v>57</v>
      </c>
    </row>
    <row r="6" spans="1:4" x14ac:dyDescent="0.35">
      <c r="A6" s="7"/>
      <c r="B6" s="7"/>
      <c r="C6" s="7" t="s">
        <v>61</v>
      </c>
      <c r="D6" s="7" t="s">
        <v>62</v>
      </c>
    </row>
    <row r="7" spans="1:4" x14ac:dyDescent="0.35">
      <c r="A7" s="8">
        <v>-95</v>
      </c>
      <c r="B7" s="8" t="s">
        <v>63</v>
      </c>
      <c r="C7" s="8">
        <v>13</v>
      </c>
      <c r="D7" s="8">
        <v>14.4</v>
      </c>
    </row>
    <row r="8" spans="1:4" x14ac:dyDescent="0.35">
      <c r="A8" s="8">
        <v>-92</v>
      </c>
      <c r="B8" s="8">
        <v>8</v>
      </c>
      <c r="C8" s="8">
        <v>13</v>
      </c>
      <c r="D8" s="8">
        <v>14.4</v>
      </c>
    </row>
    <row r="9" spans="1:4" x14ac:dyDescent="0.35">
      <c r="A9" s="8">
        <v>-90</v>
      </c>
      <c r="B9" s="8">
        <v>9</v>
      </c>
      <c r="C9" s="8">
        <v>26</v>
      </c>
      <c r="D9" s="8">
        <v>28.9</v>
      </c>
    </row>
    <row r="10" spans="1:4" x14ac:dyDescent="0.35">
      <c r="A10" s="8">
        <v>-87</v>
      </c>
      <c r="B10" s="8">
        <v>10</v>
      </c>
      <c r="C10" s="8">
        <v>39</v>
      </c>
      <c r="D10" s="8">
        <v>43.3</v>
      </c>
    </row>
    <row r="11" spans="1:4" x14ac:dyDescent="0.35">
      <c r="A11" s="8">
        <v>-83.5</v>
      </c>
      <c r="B11" s="8">
        <v>11</v>
      </c>
      <c r="C11" s="8">
        <v>52</v>
      </c>
      <c r="D11" s="8">
        <v>57.8</v>
      </c>
    </row>
    <row r="12" spans="1:4" x14ac:dyDescent="0.35">
      <c r="A12" s="8">
        <v>-80</v>
      </c>
      <c r="B12" s="8">
        <v>12</v>
      </c>
      <c r="C12" s="8">
        <v>78</v>
      </c>
      <c r="D12" s="8">
        <v>86.7</v>
      </c>
    </row>
    <row r="13" spans="1:4" x14ac:dyDescent="0.35">
      <c r="A13" s="8">
        <v>-75</v>
      </c>
      <c r="B13" s="8">
        <v>13</v>
      </c>
      <c r="C13" s="8">
        <v>104</v>
      </c>
      <c r="D13" s="8">
        <v>115.6</v>
      </c>
    </row>
    <row r="14" spans="1:4" x14ac:dyDescent="0.35">
      <c r="A14" s="8">
        <v>-72.5</v>
      </c>
      <c r="B14" s="8">
        <v>14</v>
      </c>
      <c r="C14" s="8">
        <v>117</v>
      </c>
      <c r="D14" s="8">
        <v>130</v>
      </c>
    </row>
    <row r="15" spans="1:4" x14ac:dyDescent="0.35">
      <c r="A15" s="8">
        <v>-70</v>
      </c>
      <c r="B15" s="8">
        <v>15</v>
      </c>
      <c r="C15" s="8">
        <v>130</v>
      </c>
      <c r="D15" s="8">
        <v>144.4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pane ySplit="6" topLeftCell="A7" activePane="bottomLeft" state="frozen"/>
      <selection pane="bottomLeft"/>
    </sheetView>
  </sheetViews>
  <sheetFormatPr defaultRowHeight="14.5" x14ac:dyDescent="0.35"/>
  <cols>
    <col min="1" max="1" width="10" customWidth="1"/>
    <col min="2" max="4" width="16" customWidth="1"/>
  </cols>
  <sheetData>
    <row r="1" spans="1:4" ht="17" x14ac:dyDescent="0.4">
      <c r="A1" s="3" t="s">
        <v>64</v>
      </c>
    </row>
    <row r="2" spans="1:4" x14ac:dyDescent="0.35">
      <c r="A2" s="2" t="s">
        <v>55</v>
      </c>
      <c r="B2" t="s">
        <v>17</v>
      </c>
    </row>
    <row r="3" spans="1:4" x14ac:dyDescent="0.35">
      <c r="A3" s="9" t="s">
        <v>59</v>
      </c>
    </row>
    <row r="5" spans="1:4" x14ac:dyDescent="0.35">
      <c r="A5" s="7" t="s">
        <v>56</v>
      </c>
      <c r="B5" s="7" t="s">
        <v>60</v>
      </c>
      <c r="C5" s="7" t="s">
        <v>57</v>
      </c>
    </row>
    <row r="6" spans="1:4" x14ac:dyDescent="0.35">
      <c r="A6" s="7"/>
      <c r="B6" s="7"/>
      <c r="C6" s="7" t="s">
        <v>61</v>
      </c>
      <c r="D6" s="7" t="s">
        <v>62</v>
      </c>
    </row>
    <row r="7" spans="1:4" x14ac:dyDescent="0.35">
      <c r="A7" s="8">
        <v>-95</v>
      </c>
      <c r="B7" s="8" t="s">
        <v>63</v>
      </c>
      <c r="C7" s="8">
        <v>13</v>
      </c>
      <c r="D7" s="8">
        <v>14.4</v>
      </c>
    </row>
    <row r="8" spans="1:4" x14ac:dyDescent="0.35">
      <c r="A8" s="8">
        <v>-92</v>
      </c>
      <c r="B8" s="8" t="s">
        <v>65</v>
      </c>
      <c r="C8" s="8">
        <v>13</v>
      </c>
      <c r="D8" s="8">
        <v>14.4</v>
      </c>
    </row>
    <row r="9" spans="1:4" x14ac:dyDescent="0.35">
      <c r="A9" s="8">
        <v>-90</v>
      </c>
      <c r="B9" s="8">
        <v>8</v>
      </c>
      <c r="C9" s="8">
        <v>27</v>
      </c>
      <c r="D9" s="8">
        <v>30</v>
      </c>
    </row>
    <row r="10" spans="1:4" x14ac:dyDescent="0.35">
      <c r="A10" s="8">
        <v>-87</v>
      </c>
      <c r="B10" s="8">
        <v>9</v>
      </c>
      <c r="C10" s="8">
        <v>54</v>
      </c>
      <c r="D10" s="8">
        <v>60</v>
      </c>
    </row>
    <row r="11" spans="1:4" x14ac:dyDescent="0.35">
      <c r="A11" s="8">
        <v>-85</v>
      </c>
      <c r="B11" s="8">
        <v>10</v>
      </c>
      <c r="C11" s="8">
        <v>81</v>
      </c>
      <c r="D11" s="8">
        <v>90</v>
      </c>
    </row>
    <row r="12" spans="1:4" x14ac:dyDescent="0.35">
      <c r="A12" s="8">
        <v>-81</v>
      </c>
      <c r="B12" s="8">
        <v>11</v>
      </c>
      <c r="C12" s="8">
        <v>108</v>
      </c>
      <c r="D12" s="8">
        <v>120</v>
      </c>
    </row>
    <row r="13" spans="1:4" x14ac:dyDescent="0.35">
      <c r="A13" s="8">
        <v>-77</v>
      </c>
      <c r="B13" s="8">
        <v>12</v>
      </c>
      <c r="C13" s="8">
        <v>162</v>
      </c>
      <c r="D13" s="8">
        <v>180</v>
      </c>
    </row>
    <row r="14" spans="1:4" x14ac:dyDescent="0.35">
      <c r="A14" s="8">
        <v>-72.5</v>
      </c>
      <c r="B14" s="8">
        <v>13</v>
      </c>
      <c r="C14" s="8">
        <v>216</v>
      </c>
      <c r="D14" s="8">
        <v>240</v>
      </c>
    </row>
    <row r="15" spans="1:4" x14ac:dyDescent="0.35">
      <c r="A15" s="8">
        <v>-69.5</v>
      </c>
      <c r="B15" s="8">
        <v>14</v>
      </c>
      <c r="C15" s="8">
        <v>243</v>
      </c>
      <c r="D15" s="8">
        <v>270</v>
      </c>
    </row>
    <row r="16" spans="1:4" x14ac:dyDescent="0.35">
      <c r="A16" s="8">
        <v>-67</v>
      </c>
      <c r="B16" s="8">
        <v>15</v>
      </c>
      <c r="C16" s="8">
        <v>270</v>
      </c>
      <c r="D16" s="8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pane ySplit="6" topLeftCell="A7" activePane="bottomLeft" state="frozen"/>
      <selection pane="bottomLeft"/>
    </sheetView>
  </sheetViews>
  <sheetFormatPr defaultRowHeight="14.5" x14ac:dyDescent="0.35"/>
  <cols>
    <col min="1" max="1" width="10" customWidth="1"/>
    <col min="2" max="4" width="16" customWidth="1"/>
  </cols>
  <sheetData>
    <row r="1" spans="1:4" ht="17" x14ac:dyDescent="0.4">
      <c r="A1" s="3" t="s">
        <v>66</v>
      </c>
    </row>
    <row r="2" spans="1:4" x14ac:dyDescent="0.35">
      <c r="A2" s="2" t="s">
        <v>55</v>
      </c>
      <c r="B2" t="s">
        <v>19</v>
      </c>
    </row>
    <row r="3" spans="1:4" x14ac:dyDescent="0.35">
      <c r="A3" s="9" t="s">
        <v>59</v>
      </c>
    </row>
    <row r="5" spans="1:4" x14ac:dyDescent="0.35">
      <c r="A5" s="7" t="s">
        <v>56</v>
      </c>
      <c r="B5" s="7" t="s">
        <v>60</v>
      </c>
      <c r="C5" s="7" t="s">
        <v>57</v>
      </c>
    </row>
    <row r="6" spans="1:4" x14ac:dyDescent="0.35">
      <c r="A6" s="7"/>
      <c r="B6" s="7"/>
      <c r="C6" s="7" t="s">
        <v>61</v>
      </c>
      <c r="D6" s="7" t="s">
        <v>62</v>
      </c>
    </row>
    <row r="7" spans="1:4" x14ac:dyDescent="0.35">
      <c r="A7" s="8">
        <v>-95</v>
      </c>
      <c r="B7" s="8" t="s">
        <v>67</v>
      </c>
      <c r="C7" s="8">
        <v>13</v>
      </c>
      <c r="D7" s="8">
        <v>14.4</v>
      </c>
    </row>
    <row r="8" spans="1:4" x14ac:dyDescent="0.35">
      <c r="A8" s="8">
        <v>-93</v>
      </c>
      <c r="B8" s="8">
        <v>0</v>
      </c>
      <c r="C8" s="8">
        <v>13</v>
      </c>
      <c r="D8" s="8">
        <v>14.4</v>
      </c>
    </row>
    <row r="9" spans="1:4" x14ac:dyDescent="0.35">
      <c r="A9" s="8">
        <v>-91</v>
      </c>
      <c r="B9" s="8">
        <v>1</v>
      </c>
      <c r="C9" s="8">
        <v>26</v>
      </c>
      <c r="D9" s="8">
        <v>28.9</v>
      </c>
    </row>
    <row r="10" spans="1:4" x14ac:dyDescent="0.35">
      <c r="A10" s="8">
        <v>-88</v>
      </c>
      <c r="B10" s="8">
        <v>2</v>
      </c>
      <c r="C10" s="8">
        <v>39</v>
      </c>
      <c r="D10" s="8">
        <v>43.3</v>
      </c>
    </row>
    <row r="11" spans="1:4" x14ac:dyDescent="0.35">
      <c r="A11" s="8">
        <v>-84.5</v>
      </c>
      <c r="B11" s="8">
        <v>3</v>
      </c>
      <c r="C11" s="8">
        <v>52</v>
      </c>
      <c r="D11" s="8">
        <v>57.8</v>
      </c>
    </row>
    <row r="12" spans="1:4" x14ac:dyDescent="0.35">
      <c r="A12" s="8">
        <v>-81</v>
      </c>
      <c r="B12" s="8">
        <v>4</v>
      </c>
      <c r="C12" s="8">
        <v>78</v>
      </c>
      <c r="D12" s="8">
        <v>86.7</v>
      </c>
    </row>
    <row r="13" spans="1:4" x14ac:dyDescent="0.35">
      <c r="A13" s="8">
        <v>-76</v>
      </c>
      <c r="B13" s="8">
        <v>5</v>
      </c>
      <c r="C13" s="8">
        <v>104</v>
      </c>
      <c r="D13" s="8">
        <v>115.6</v>
      </c>
    </row>
    <row r="14" spans="1:4" x14ac:dyDescent="0.35">
      <c r="A14" s="8">
        <v>-73.5</v>
      </c>
      <c r="B14" s="8">
        <v>6</v>
      </c>
      <c r="C14" s="8">
        <v>117</v>
      </c>
      <c r="D14" s="8">
        <v>130</v>
      </c>
    </row>
    <row r="15" spans="1:4" x14ac:dyDescent="0.35">
      <c r="A15" s="8">
        <v>-72</v>
      </c>
      <c r="B15" s="8">
        <v>7</v>
      </c>
      <c r="C15" s="8">
        <v>130</v>
      </c>
      <c r="D15" s="8">
        <v>144.4</v>
      </c>
    </row>
    <row r="16" spans="1:4" x14ac:dyDescent="0.35">
      <c r="A16" s="8">
        <v>-68</v>
      </c>
      <c r="B16" s="8">
        <v>8</v>
      </c>
      <c r="C16" s="8">
        <v>156</v>
      </c>
      <c r="D16" s="8">
        <v>173.3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>
      <pane ySplit="6" topLeftCell="A7" activePane="bottomLeft" state="frozen"/>
      <selection pane="bottomLeft"/>
    </sheetView>
  </sheetViews>
  <sheetFormatPr defaultRowHeight="14.5" x14ac:dyDescent="0.35"/>
  <cols>
    <col min="1" max="1" width="10" customWidth="1"/>
    <col min="2" max="4" width="16" customWidth="1"/>
  </cols>
  <sheetData>
    <row r="1" spans="1:4" ht="17" x14ac:dyDescent="0.4">
      <c r="A1" s="3" t="s">
        <v>68</v>
      </c>
    </row>
    <row r="2" spans="1:4" x14ac:dyDescent="0.35">
      <c r="A2" s="2" t="s">
        <v>55</v>
      </c>
      <c r="B2" t="s">
        <v>21</v>
      </c>
    </row>
    <row r="3" spans="1:4" x14ac:dyDescent="0.35">
      <c r="A3" s="9" t="s">
        <v>59</v>
      </c>
    </row>
    <row r="5" spans="1:4" x14ac:dyDescent="0.35">
      <c r="A5" s="7" t="s">
        <v>56</v>
      </c>
      <c r="B5" s="7" t="s">
        <v>60</v>
      </c>
      <c r="C5" s="7" t="s">
        <v>57</v>
      </c>
    </row>
    <row r="6" spans="1:4" x14ac:dyDescent="0.35">
      <c r="A6" s="7"/>
      <c r="B6" s="7"/>
      <c r="C6" s="7" t="s">
        <v>61</v>
      </c>
      <c r="D6" s="7" t="s">
        <v>62</v>
      </c>
    </row>
    <row r="7" spans="1:4" x14ac:dyDescent="0.35">
      <c r="A7" s="8">
        <v>-95</v>
      </c>
      <c r="B7" s="8" t="s">
        <v>67</v>
      </c>
      <c r="C7" s="8">
        <v>13</v>
      </c>
      <c r="D7" s="8">
        <v>14.4</v>
      </c>
    </row>
    <row r="8" spans="1:4" x14ac:dyDescent="0.35">
      <c r="A8" s="8">
        <v>-93</v>
      </c>
      <c r="B8" s="8" t="s">
        <v>69</v>
      </c>
      <c r="C8" s="8">
        <v>13</v>
      </c>
      <c r="D8" s="8">
        <v>14.4</v>
      </c>
    </row>
    <row r="9" spans="1:4" x14ac:dyDescent="0.35">
      <c r="A9" s="8">
        <v>-90</v>
      </c>
      <c r="B9" s="8">
        <v>0</v>
      </c>
      <c r="C9" s="8">
        <v>27</v>
      </c>
      <c r="D9" s="8">
        <v>30</v>
      </c>
    </row>
    <row r="10" spans="1:4" x14ac:dyDescent="0.35">
      <c r="A10" s="8">
        <v>-88</v>
      </c>
      <c r="B10" s="8">
        <v>1</v>
      </c>
      <c r="C10" s="8">
        <v>54</v>
      </c>
      <c r="D10" s="8">
        <v>60</v>
      </c>
    </row>
    <row r="11" spans="1:4" x14ac:dyDescent="0.35">
      <c r="A11" s="8">
        <v>-85</v>
      </c>
      <c r="B11" s="8">
        <v>2</v>
      </c>
      <c r="C11" s="8">
        <v>81</v>
      </c>
      <c r="D11" s="8">
        <v>90</v>
      </c>
    </row>
    <row r="12" spans="1:4" x14ac:dyDescent="0.35">
      <c r="A12" s="8">
        <v>-81</v>
      </c>
      <c r="B12" s="8">
        <v>3</v>
      </c>
      <c r="C12" s="8">
        <v>108</v>
      </c>
      <c r="D12" s="8">
        <v>120</v>
      </c>
    </row>
    <row r="13" spans="1:4" x14ac:dyDescent="0.35">
      <c r="A13" s="8">
        <v>-78</v>
      </c>
      <c r="B13" s="8">
        <v>4</v>
      </c>
      <c r="C13" s="8">
        <v>162</v>
      </c>
      <c r="D13" s="8">
        <v>180</v>
      </c>
    </row>
    <row r="14" spans="1:4" x14ac:dyDescent="0.35">
      <c r="A14" s="8">
        <v>-73.5</v>
      </c>
      <c r="B14" s="8">
        <v>5</v>
      </c>
      <c r="C14" s="8">
        <v>216</v>
      </c>
      <c r="D14" s="8">
        <v>240</v>
      </c>
    </row>
    <row r="15" spans="1:4" x14ac:dyDescent="0.35">
      <c r="A15" s="8">
        <v>-70.5</v>
      </c>
      <c r="B15" s="8">
        <v>6</v>
      </c>
      <c r="C15" s="8">
        <v>243</v>
      </c>
      <c r="D15" s="8">
        <v>270</v>
      </c>
    </row>
    <row r="16" spans="1:4" x14ac:dyDescent="0.35">
      <c r="A16" s="8">
        <v>-69</v>
      </c>
      <c r="B16" s="8">
        <v>7</v>
      </c>
      <c r="C16" s="8">
        <v>270</v>
      </c>
      <c r="D16" s="8">
        <v>300</v>
      </c>
    </row>
    <row r="17" spans="1:4" x14ac:dyDescent="0.35">
      <c r="A17" s="8">
        <v>-65</v>
      </c>
      <c r="B17" s="8">
        <v>8</v>
      </c>
      <c r="C17" s="8">
        <v>324</v>
      </c>
      <c r="D17" s="8">
        <v>360</v>
      </c>
    </row>
    <row r="18" spans="1:4" x14ac:dyDescent="0.35">
      <c r="A18" s="8">
        <v>-62.5</v>
      </c>
      <c r="B18" s="8">
        <v>9</v>
      </c>
      <c r="C18" s="8">
        <v>360</v>
      </c>
      <c r="D18" s="8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workbookViewId="0">
      <pane ySplit="6" topLeftCell="A7" activePane="bottomLeft" state="frozen"/>
      <selection pane="bottomLeft"/>
    </sheetView>
  </sheetViews>
  <sheetFormatPr defaultRowHeight="14.5" x14ac:dyDescent="0.35"/>
  <cols>
    <col min="1" max="1" width="10" customWidth="1"/>
    <col min="2" max="4" width="16" customWidth="1"/>
  </cols>
  <sheetData>
    <row r="1" spans="1:4" ht="17" x14ac:dyDescent="0.4">
      <c r="A1" s="3" t="s">
        <v>70</v>
      </c>
    </row>
    <row r="2" spans="1:4" x14ac:dyDescent="0.35">
      <c r="A2" s="2" t="s">
        <v>55</v>
      </c>
      <c r="B2" t="s">
        <v>23</v>
      </c>
    </row>
    <row r="3" spans="1:4" x14ac:dyDescent="0.35">
      <c r="A3" s="9" t="s">
        <v>59</v>
      </c>
    </row>
    <row r="5" spans="1:4" x14ac:dyDescent="0.35">
      <c r="A5" s="7" t="s">
        <v>56</v>
      </c>
      <c r="B5" s="7" t="s">
        <v>60</v>
      </c>
      <c r="C5" s="7" t="s">
        <v>57</v>
      </c>
    </row>
    <row r="6" spans="1:4" x14ac:dyDescent="0.35">
      <c r="A6" s="7"/>
      <c r="B6" s="7"/>
      <c r="C6" s="7" t="s">
        <v>61</v>
      </c>
      <c r="D6" s="7" t="s">
        <v>62</v>
      </c>
    </row>
    <row r="7" spans="1:4" x14ac:dyDescent="0.35">
      <c r="A7" s="8">
        <v>-95</v>
      </c>
      <c r="B7" s="8" t="s">
        <v>67</v>
      </c>
      <c r="C7" s="8">
        <v>13</v>
      </c>
      <c r="D7" s="8">
        <v>14.4</v>
      </c>
    </row>
    <row r="8" spans="1:4" x14ac:dyDescent="0.35">
      <c r="A8" s="8">
        <v>-93</v>
      </c>
      <c r="B8" s="8" t="s">
        <v>69</v>
      </c>
      <c r="C8" s="8">
        <v>13</v>
      </c>
      <c r="D8" s="8">
        <v>14.4</v>
      </c>
    </row>
    <row r="9" spans="1:4" x14ac:dyDescent="0.35">
      <c r="A9" s="8">
        <v>-90</v>
      </c>
      <c r="B9" s="8" t="s">
        <v>71</v>
      </c>
      <c r="C9" s="8">
        <v>27</v>
      </c>
      <c r="D9" s="8">
        <v>30</v>
      </c>
    </row>
    <row r="10" spans="1:4" x14ac:dyDescent="0.35">
      <c r="A10" s="8">
        <v>-87</v>
      </c>
      <c r="B10" s="8">
        <v>0</v>
      </c>
      <c r="C10" s="8">
        <v>58.5</v>
      </c>
      <c r="D10" s="8">
        <v>65</v>
      </c>
    </row>
    <row r="11" spans="1:4" x14ac:dyDescent="0.35">
      <c r="A11" s="8">
        <v>-83.5</v>
      </c>
      <c r="B11" s="8">
        <v>1</v>
      </c>
      <c r="C11" s="8">
        <v>117</v>
      </c>
      <c r="D11" s="8">
        <v>130</v>
      </c>
    </row>
    <row r="12" spans="1:4" x14ac:dyDescent="0.35">
      <c r="A12" s="8">
        <v>-81.5</v>
      </c>
      <c r="B12" s="8">
        <v>2</v>
      </c>
      <c r="C12" s="8">
        <v>175.5</v>
      </c>
      <c r="D12" s="8">
        <v>195</v>
      </c>
    </row>
    <row r="13" spans="1:4" x14ac:dyDescent="0.35">
      <c r="A13" s="8">
        <v>-78.5</v>
      </c>
      <c r="B13" s="8">
        <v>3</v>
      </c>
      <c r="C13" s="8">
        <v>234</v>
      </c>
      <c r="D13" s="8">
        <v>260</v>
      </c>
    </row>
    <row r="14" spans="1:4" x14ac:dyDescent="0.35">
      <c r="A14" s="8">
        <v>-74</v>
      </c>
      <c r="B14" s="8">
        <v>4</v>
      </c>
      <c r="C14" s="8">
        <v>351</v>
      </c>
      <c r="D14" s="8">
        <v>390</v>
      </c>
    </row>
    <row r="15" spans="1:4" x14ac:dyDescent="0.35">
      <c r="A15" s="8">
        <v>-69.5</v>
      </c>
      <c r="B15" s="8">
        <v>5</v>
      </c>
      <c r="C15" s="8">
        <v>468</v>
      </c>
      <c r="D15" s="8">
        <v>520</v>
      </c>
    </row>
    <row r="16" spans="1:4" x14ac:dyDescent="0.35">
      <c r="A16" s="8">
        <v>-68</v>
      </c>
      <c r="B16" s="8">
        <v>6</v>
      </c>
      <c r="C16" s="8">
        <v>526.5</v>
      </c>
      <c r="D16" s="8">
        <v>585</v>
      </c>
    </row>
    <row r="17" spans="1:4" x14ac:dyDescent="0.35">
      <c r="A17" s="8">
        <v>-67</v>
      </c>
      <c r="B17" s="8">
        <v>7</v>
      </c>
      <c r="C17" s="8">
        <v>585</v>
      </c>
      <c r="D17" s="8">
        <v>650</v>
      </c>
    </row>
    <row r="18" spans="1:4" x14ac:dyDescent="0.35">
      <c r="A18" s="8">
        <v>-61.5</v>
      </c>
      <c r="B18" s="8">
        <v>8</v>
      </c>
      <c r="C18" s="8">
        <v>702</v>
      </c>
      <c r="D18" s="8">
        <v>780</v>
      </c>
    </row>
    <row r="19" spans="1:4" x14ac:dyDescent="0.35">
      <c r="A19" s="8">
        <v>-59.5</v>
      </c>
      <c r="B19" s="8">
        <v>9</v>
      </c>
      <c r="C19" s="8">
        <v>780</v>
      </c>
      <c r="D19" s="8">
        <v>866.7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"/>
  <sheetViews>
    <sheetView workbookViewId="0">
      <pane ySplit="6" topLeftCell="A7" activePane="bottomLeft" state="frozen"/>
      <selection pane="bottomLeft" activeCell="D4" sqref="D4"/>
    </sheetView>
  </sheetViews>
  <sheetFormatPr defaultRowHeight="14.5" x14ac:dyDescent="0.35"/>
  <cols>
    <col min="1" max="1" width="10" customWidth="1"/>
    <col min="2" max="4" width="16" customWidth="1"/>
  </cols>
  <sheetData>
    <row r="1" spans="1:4" ht="17" x14ac:dyDescent="0.4">
      <c r="A1" s="3" t="s">
        <v>72</v>
      </c>
    </row>
    <row r="2" spans="1:4" x14ac:dyDescent="0.35">
      <c r="A2" s="2" t="s">
        <v>55</v>
      </c>
      <c r="B2" t="s">
        <v>25</v>
      </c>
    </row>
    <row r="3" spans="1:4" x14ac:dyDescent="0.35">
      <c r="A3" s="9" t="s">
        <v>59</v>
      </c>
    </row>
    <row r="5" spans="1:4" x14ac:dyDescent="0.35">
      <c r="A5" s="7" t="s">
        <v>56</v>
      </c>
      <c r="B5" s="7" t="s">
        <v>60</v>
      </c>
      <c r="C5" s="7" t="s">
        <v>57</v>
      </c>
    </row>
    <row r="6" spans="1:4" x14ac:dyDescent="0.35">
      <c r="A6" s="7"/>
      <c r="B6" s="7"/>
      <c r="C6" s="7" t="s">
        <v>61</v>
      </c>
      <c r="D6" s="7" t="s">
        <v>62</v>
      </c>
    </row>
    <row r="7" spans="1:4" x14ac:dyDescent="0.35">
      <c r="A7" s="8">
        <v>-95</v>
      </c>
      <c r="B7" s="8" t="s">
        <v>67</v>
      </c>
      <c r="C7" s="8">
        <v>13</v>
      </c>
      <c r="D7" s="8">
        <v>14.4</v>
      </c>
    </row>
    <row r="8" spans="1:4" x14ac:dyDescent="0.35">
      <c r="A8" s="8">
        <v>-93</v>
      </c>
      <c r="B8" s="8" t="s">
        <v>69</v>
      </c>
      <c r="C8" s="8">
        <v>13</v>
      </c>
      <c r="D8" s="8">
        <v>14.4</v>
      </c>
    </row>
    <row r="9" spans="1:4" x14ac:dyDescent="0.35">
      <c r="A9" s="8">
        <v>-90</v>
      </c>
      <c r="B9" s="8" t="s">
        <v>71</v>
      </c>
      <c r="C9" s="8">
        <v>27</v>
      </c>
      <c r="D9" s="8">
        <v>30</v>
      </c>
    </row>
    <row r="10" spans="1:4" x14ac:dyDescent="0.35">
      <c r="A10" s="8">
        <v>-87</v>
      </c>
      <c r="B10" s="8" t="s">
        <v>73</v>
      </c>
      <c r="C10" s="8">
        <v>58.5</v>
      </c>
      <c r="D10" s="8">
        <v>65</v>
      </c>
    </row>
    <row r="11" spans="1:4" x14ac:dyDescent="0.35">
      <c r="A11" s="8">
        <v>-83</v>
      </c>
      <c r="B11" s="8">
        <v>0</v>
      </c>
      <c r="C11" s="8">
        <v>117</v>
      </c>
      <c r="D11" s="8">
        <v>130</v>
      </c>
    </row>
    <row r="12" spans="1:4" x14ac:dyDescent="0.35">
      <c r="A12" s="8">
        <v>-81</v>
      </c>
      <c r="B12" s="8">
        <v>1</v>
      </c>
      <c r="C12" s="8">
        <v>234</v>
      </c>
      <c r="D12" s="8">
        <v>260</v>
      </c>
    </row>
    <row r="13" spans="1:4" x14ac:dyDescent="0.35">
      <c r="A13" s="8">
        <v>-78</v>
      </c>
      <c r="B13" s="8">
        <v>2</v>
      </c>
      <c r="C13" s="8">
        <v>351</v>
      </c>
      <c r="D13" s="8">
        <v>390</v>
      </c>
    </row>
    <row r="14" spans="1:4" x14ac:dyDescent="0.35">
      <c r="A14" s="8">
        <v>-76</v>
      </c>
      <c r="B14" s="8">
        <v>3</v>
      </c>
      <c r="C14" s="8">
        <v>468</v>
      </c>
      <c r="D14" s="8">
        <v>520</v>
      </c>
    </row>
    <row r="15" spans="1:4" x14ac:dyDescent="0.35">
      <c r="A15" s="8">
        <v>-71.5</v>
      </c>
      <c r="B15" s="8">
        <v>4</v>
      </c>
      <c r="C15" s="8">
        <v>702</v>
      </c>
      <c r="D15" s="8">
        <v>780</v>
      </c>
    </row>
    <row r="16" spans="1:4" x14ac:dyDescent="0.35">
      <c r="A16" s="8">
        <v>-67.5</v>
      </c>
      <c r="B16" s="8">
        <v>5</v>
      </c>
      <c r="C16" s="8">
        <v>936</v>
      </c>
      <c r="D16" s="8">
        <v>1040</v>
      </c>
    </row>
    <row r="17" spans="1:4" x14ac:dyDescent="0.35">
      <c r="A17" s="8">
        <v>-66</v>
      </c>
      <c r="B17" s="8">
        <v>6</v>
      </c>
      <c r="C17" s="8">
        <v>1053</v>
      </c>
      <c r="D17" s="8">
        <v>1170</v>
      </c>
    </row>
    <row r="18" spans="1:4" x14ac:dyDescent="0.35">
      <c r="A18" s="8">
        <v>-63.5</v>
      </c>
      <c r="B18" s="8">
        <v>7</v>
      </c>
      <c r="C18" s="8">
        <v>1170</v>
      </c>
      <c r="D18" s="8">
        <v>1300</v>
      </c>
    </row>
    <row r="19" spans="1:4" x14ac:dyDescent="0.35">
      <c r="A19" s="8">
        <v>-59</v>
      </c>
      <c r="B19" s="8">
        <v>8</v>
      </c>
      <c r="C19" s="8">
        <v>1404</v>
      </c>
      <c r="D19" s="8">
        <v>1560</v>
      </c>
    </row>
    <row r="20" spans="1:4" x14ac:dyDescent="0.35">
      <c r="A20" s="8">
        <v>-57</v>
      </c>
      <c r="B20" s="8">
        <v>9</v>
      </c>
      <c r="C20" s="8">
        <v>1560</v>
      </c>
      <c r="D20" s="8">
        <v>1733.3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"/>
  <sheetViews>
    <sheetView workbookViewId="0">
      <pane ySplit="6" topLeftCell="A7" activePane="bottomLeft" state="frozen"/>
      <selection pane="bottomLeft" activeCell="D5" sqref="D5:I5"/>
    </sheetView>
  </sheetViews>
  <sheetFormatPr defaultRowHeight="14.5" x14ac:dyDescent="0.35"/>
  <cols>
    <col min="1" max="1" width="10" customWidth="1"/>
    <col min="2" max="9" width="16" customWidth="1"/>
  </cols>
  <sheetData>
    <row r="1" spans="1:9" ht="17" x14ac:dyDescent="0.4">
      <c r="A1" s="3" t="s">
        <v>74</v>
      </c>
    </row>
    <row r="2" spans="1:9" x14ac:dyDescent="0.35">
      <c r="A2" s="2" t="s">
        <v>55</v>
      </c>
      <c r="B2" t="s">
        <v>27</v>
      </c>
    </row>
    <row r="4" spans="1:9" x14ac:dyDescent="0.35">
      <c r="A4" s="7" t="s">
        <v>56</v>
      </c>
      <c r="B4" s="7" t="s">
        <v>75</v>
      </c>
      <c r="C4" s="7" t="s">
        <v>57</v>
      </c>
    </row>
    <row r="5" spans="1:9" x14ac:dyDescent="0.35">
      <c r="A5" s="7" t="s">
        <v>76</v>
      </c>
      <c r="B5" s="7" t="s">
        <v>77</v>
      </c>
      <c r="C5" s="7"/>
      <c r="D5" s="10" t="s">
        <v>78</v>
      </c>
      <c r="E5" s="11"/>
      <c r="F5" s="12"/>
      <c r="G5" s="10" t="s">
        <v>79</v>
      </c>
      <c r="H5" s="11"/>
      <c r="I5" s="11"/>
    </row>
    <row r="6" spans="1:9" x14ac:dyDescent="0.35">
      <c r="A6" s="7"/>
      <c r="B6" s="7"/>
      <c r="C6" s="7"/>
      <c r="D6" s="7" t="s">
        <v>80</v>
      </c>
      <c r="E6" s="7" t="s">
        <v>81</v>
      </c>
      <c r="F6" s="7" t="s">
        <v>82</v>
      </c>
      <c r="G6" s="7" t="s">
        <v>80</v>
      </c>
      <c r="H6" s="7" t="s">
        <v>81</v>
      </c>
      <c r="I6" s="7" t="s">
        <v>82</v>
      </c>
    </row>
    <row r="7" spans="1:9" x14ac:dyDescent="0.35">
      <c r="A7" s="8">
        <v>-95</v>
      </c>
      <c r="B7" s="8">
        <v>-95</v>
      </c>
      <c r="C7" s="8" t="s">
        <v>67</v>
      </c>
      <c r="D7" s="8">
        <v>8.6</v>
      </c>
      <c r="E7" s="8">
        <v>8.1</v>
      </c>
      <c r="F7" s="8">
        <v>7.3</v>
      </c>
      <c r="G7" s="8" t="s">
        <v>83</v>
      </c>
      <c r="H7" s="8" t="s">
        <v>83</v>
      </c>
      <c r="I7" s="8" t="s">
        <v>83</v>
      </c>
    </row>
    <row r="8" spans="1:9" x14ac:dyDescent="0.35">
      <c r="A8" s="8">
        <v>-92</v>
      </c>
      <c r="B8" s="8">
        <v>-93</v>
      </c>
      <c r="C8" s="8">
        <v>0</v>
      </c>
      <c r="D8" s="8">
        <v>8.6</v>
      </c>
      <c r="E8" s="8">
        <v>8.1</v>
      </c>
      <c r="F8" s="8">
        <v>7.3</v>
      </c>
      <c r="G8" s="8">
        <v>17.2</v>
      </c>
      <c r="H8" s="8">
        <v>16.3</v>
      </c>
      <c r="I8" s="8">
        <v>14.6</v>
      </c>
    </row>
    <row r="9" spans="1:9" x14ac:dyDescent="0.35">
      <c r="A9" s="8">
        <v>-90</v>
      </c>
      <c r="B9" s="8">
        <v>-90</v>
      </c>
      <c r="C9" s="8">
        <v>1</v>
      </c>
      <c r="D9" s="8">
        <v>17.2</v>
      </c>
      <c r="E9" s="8">
        <v>16.3</v>
      </c>
      <c r="F9" s="8">
        <v>14.6</v>
      </c>
      <c r="G9" s="8">
        <v>34.4</v>
      </c>
      <c r="H9" s="8">
        <v>32.5</v>
      </c>
      <c r="I9" s="8">
        <v>29.3</v>
      </c>
    </row>
    <row r="10" spans="1:9" x14ac:dyDescent="0.35">
      <c r="A10" s="8">
        <v>-87</v>
      </c>
      <c r="B10" s="8">
        <v>-87</v>
      </c>
      <c r="C10" s="8">
        <v>2</v>
      </c>
      <c r="D10" s="8">
        <v>25.8</v>
      </c>
      <c r="E10" s="8">
        <v>24.4</v>
      </c>
      <c r="F10" s="8">
        <v>21.9</v>
      </c>
      <c r="G10" s="8">
        <v>51.6</v>
      </c>
      <c r="H10" s="8">
        <v>48.8</v>
      </c>
      <c r="I10" s="8">
        <v>43.9</v>
      </c>
    </row>
    <row r="11" spans="1:9" x14ac:dyDescent="0.35">
      <c r="A11" s="8">
        <v>-83.5</v>
      </c>
      <c r="B11" s="8">
        <v>-84.5</v>
      </c>
      <c r="C11" s="8">
        <v>3</v>
      </c>
      <c r="D11" s="8">
        <v>34.4</v>
      </c>
      <c r="E11" s="8">
        <v>32.5</v>
      </c>
      <c r="F11" s="8">
        <v>29.3</v>
      </c>
      <c r="G11" s="8">
        <v>68.8</v>
      </c>
      <c r="H11" s="8">
        <v>65</v>
      </c>
      <c r="I11" s="8">
        <v>58.5</v>
      </c>
    </row>
    <row r="12" spans="1:9" x14ac:dyDescent="0.35">
      <c r="A12" s="8">
        <v>-79</v>
      </c>
      <c r="B12" s="8">
        <v>-80</v>
      </c>
      <c r="C12" s="8">
        <v>4</v>
      </c>
      <c r="D12" s="8">
        <v>51.6</v>
      </c>
      <c r="E12" s="8">
        <v>48.8</v>
      </c>
      <c r="F12" s="8">
        <v>43.9</v>
      </c>
      <c r="G12" s="8">
        <v>103.2</v>
      </c>
      <c r="H12" s="8">
        <v>97.5</v>
      </c>
      <c r="I12" s="8">
        <v>87.8</v>
      </c>
    </row>
    <row r="13" spans="1:9" x14ac:dyDescent="0.35">
      <c r="A13" s="8">
        <v>-74</v>
      </c>
      <c r="B13" s="8">
        <v>-75</v>
      </c>
      <c r="C13" s="8">
        <v>5</v>
      </c>
      <c r="D13" s="8">
        <v>68.8</v>
      </c>
      <c r="E13" s="8">
        <v>65</v>
      </c>
      <c r="F13" s="8">
        <v>58.5</v>
      </c>
      <c r="G13" s="8">
        <v>137.6</v>
      </c>
      <c r="H13" s="8">
        <v>130</v>
      </c>
      <c r="I13" s="8">
        <v>117</v>
      </c>
    </row>
    <row r="14" spans="1:9" x14ac:dyDescent="0.35">
      <c r="A14" s="8">
        <v>-72.5</v>
      </c>
      <c r="B14" s="8">
        <v>-73.5</v>
      </c>
      <c r="C14" s="8">
        <v>6</v>
      </c>
      <c r="D14" s="8">
        <v>77.400000000000006</v>
      </c>
      <c r="E14" s="8">
        <v>73.099999999999994</v>
      </c>
      <c r="F14" s="8">
        <v>65.8</v>
      </c>
      <c r="G14" s="8">
        <v>154.9</v>
      </c>
      <c r="H14" s="8">
        <v>146.30000000000001</v>
      </c>
      <c r="I14" s="8">
        <v>131.6</v>
      </c>
    </row>
    <row r="15" spans="1:9" x14ac:dyDescent="0.35">
      <c r="A15" s="8">
        <v>-70</v>
      </c>
      <c r="B15" s="8">
        <v>-71</v>
      </c>
      <c r="C15" s="8">
        <v>7</v>
      </c>
      <c r="D15" s="8">
        <v>86</v>
      </c>
      <c r="E15" s="8">
        <v>81.3</v>
      </c>
      <c r="F15" s="8">
        <v>73.099999999999994</v>
      </c>
      <c r="G15" s="8">
        <v>172.1</v>
      </c>
      <c r="H15" s="8">
        <v>162.5</v>
      </c>
      <c r="I15" s="8">
        <v>146.30000000000001</v>
      </c>
    </row>
    <row r="16" spans="1:9" x14ac:dyDescent="0.35">
      <c r="A16" s="8">
        <v>-67</v>
      </c>
      <c r="B16" s="8">
        <v>-67</v>
      </c>
      <c r="C16" s="8">
        <v>8</v>
      </c>
      <c r="D16" s="8">
        <v>103.2</v>
      </c>
      <c r="E16" s="8">
        <v>97.5</v>
      </c>
      <c r="F16" s="8">
        <v>87.8</v>
      </c>
      <c r="G16" s="8">
        <v>206.5</v>
      </c>
      <c r="H16" s="8">
        <v>195</v>
      </c>
      <c r="I16" s="8">
        <v>175.5</v>
      </c>
    </row>
    <row r="17" spans="1:9" x14ac:dyDescent="0.35">
      <c r="A17" s="8">
        <v>-64.5</v>
      </c>
      <c r="B17" s="8">
        <v>-64.5</v>
      </c>
      <c r="C17" s="8">
        <v>9</v>
      </c>
      <c r="D17" s="8">
        <v>114.7</v>
      </c>
      <c r="E17" s="8">
        <v>108.3</v>
      </c>
      <c r="F17" s="8">
        <v>97.5</v>
      </c>
      <c r="G17" s="8">
        <v>229.4</v>
      </c>
      <c r="H17" s="8">
        <v>216.7</v>
      </c>
      <c r="I17" s="8">
        <v>195</v>
      </c>
    </row>
    <row r="18" spans="1:9" x14ac:dyDescent="0.35">
      <c r="A18" s="8">
        <v>-59</v>
      </c>
      <c r="B18" s="8">
        <v>-60</v>
      </c>
      <c r="C18" s="8">
        <v>10</v>
      </c>
      <c r="D18" s="8">
        <v>129</v>
      </c>
      <c r="E18" s="8">
        <v>121.9</v>
      </c>
      <c r="F18" s="8">
        <v>109.7</v>
      </c>
      <c r="G18" s="8">
        <v>258.10000000000002</v>
      </c>
      <c r="H18" s="8">
        <v>243.8</v>
      </c>
      <c r="I18" s="8">
        <v>219.4</v>
      </c>
    </row>
    <row r="19" spans="1:9" x14ac:dyDescent="0.35">
      <c r="A19" s="8">
        <v>-57</v>
      </c>
      <c r="B19" s="8">
        <v>-58</v>
      </c>
      <c r="C19" s="8">
        <v>11</v>
      </c>
      <c r="D19" s="8">
        <v>143.4</v>
      </c>
      <c r="E19" s="8">
        <v>135.4</v>
      </c>
      <c r="F19" s="8">
        <v>121.9</v>
      </c>
      <c r="G19" s="8">
        <v>286.8</v>
      </c>
      <c r="H19" s="8">
        <v>270.8</v>
      </c>
      <c r="I19" s="8">
        <v>243.8</v>
      </c>
    </row>
  </sheetData>
  <mergeCells count="2">
    <mergeCell ref="D5:F5"/>
    <mergeCell ref="G5:I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0"/>
  <sheetViews>
    <sheetView workbookViewId="0">
      <pane ySplit="6" topLeftCell="A7" activePane="bottomLeft" state="frozen"/>
      <selection pane="bottomLeft" activeCell="D5" sqref="D5:I5"/>
    </sheetView>
  </sheetViews>
  <sheetFormatPr defaultRowHeight="14.5" x14ac:dyDescent="0.35"/>
  <cols>
    <col min="1" max="1" width="10" customWidth="1"/>
    <col min="2" max="9" width="16" customWidth="1"/>
  </cols>
  <sheetData>
    <row r="1" spans="1:9" ht="17" x14ac:dyDescent="0.4">
      <c r="A1" s="3" t="s">
        <v>84</v>
      </c>
    </row>
    <row r="2" spans="1:9" x14ac:dyDescent="0.35">
      <c r="A2" s="2" t="s">
        <v>55</v>
      </c>
      <c r="B2" t="s">
        <v>29</v>
      </c>
    </row>
    <row r="4" spans="1:9" x14ac:dyDescent="0.35">
      <c r="A4" s="7" t="s">
        <v>56</v>
      </c>
      <c r="B4" s="7" t="s">
        <v>75</v>
      </c>
      <c r="C4" s="7" t="s">
        <v>57</v>
      </c>
    </row>
    <row r="5" spans="1:9" x14ac:dyDescent="0.35">
      <c r="A5" s="7" t="s">
        <v>76</v>
      </c>
      <c r="B5" s="7" t="s">
        <v>77</v>
      </c>
      <c r="C5" s="7"/>
      <c r="D5" s="10" t="s">
        <v>78</v>
      </c>
      <c r="E5" s="11"/>
      <c r="F5" s="12"/>
      <c r="G5" s="10" t="s">
        <v>79</v>
      </c>
      <c r="H5" s="11"/>
      <c r="I5" s="11"/>
    </row>
    <row r="6" spans="1:9" x14ac:dyDescent="0.35">
      <c r="A6" s="7"/>
      <c r="B6" s="7"/>
      <c r="C6" s="7"/>
      <c r="D6" s="7" t="s">
        <v>80</v>
      </c>
      <c r="E6" s="7" t="s">
        <v>81</v>
      </c>
      <c r="F6" s="7" t="s">
        <v>82</v>
      </c>
      <c r="G6" s="7" t="s">
        <v>80</v>
      </c>
      <c r="H6" s="7" t="s">
        <v>81</v>
      </c>
      <c r="I6" s="7" t="s">
        <v>82</v>
      </c>
    </row>
    <row r="7" spans="1:9" x14ac:dyDescent="0.35">
      <c r="A7" s="8">
        <v>-95</v>
      </c>
      <c r="B7" s="8">
        <v>-95</v>
      </c>
      <c r="C7" s="8" t="s">
        <v>67</v>
      </c>
      <c r="D7" s="8">
        <v>8.6</v>
      </c>
      <c r="E7" s="8">
        <v>8.1</v>
      </c>
      <c r="F7" s="8">
        <v>7.3</v>
      </c>
      <c r="G7" s="8" t="s">
        <v>83</v>
      </c>
      <c r="H7" s="8" t="s">
        <v>83</v>
      </c>
      <c r="I7" s="8" t="s">
        <v>83</v>
      </c>
    </row>
    <row r="8" spans="1:9" x14ac:dyDescent="0.35">
      <c r="A8" s="8">
        <v>-92</v>
      </c>
      <c r="B8" s="8">
        <v>-93</v>
      </c>
      <c r="C8" s="8" t="s">
        <v>69</v>
      </c>
      <c r="D8" s="8">
        <v>8.6</v>
      </c>
      <c r="E8" s="8">
        <v>8.1</v>
      </c>
      <c r="F8" s="8">
        <v>7.3</v>
      </c>
      <c r="G8" s="8">
        <v>17.2</v>
      </c>
      <c r="H8" s="8">
        <v>16.3</v>
      </c>
      <c r="I8" s="8">
        <v>14.6</v>
      </c>
    </row>
    <row r="9" spans="1:9" x14ac:dyDescent="0.35">
      <c r="A9" s="8">
        <v>-90</v>
      </c>
      <c r="B9" s="8">
        <v>-90</v>
      </c>
      <c r="C9" s="8">
        <v>0</v>
      </c>
      <c r="D9" s="8">
        <v>17.2</v>
      </c>
      <c r="E9" s="8">
        <v>16.3</v>
      </c>
      <c r="F9" s="8">
        <v>14.6</v>
      </c>
      <c r="G9" s="8">
        <v>34.4</v>
      </c>
      <c r="H9" s="8">
        <v>32.5</v>
      </c>
      <c r="I9" s="8">
        <v>29.3</v>
      </c>
    </row>
    <row r="10" spans="1:9" x14ac:dyDescent="0.35">
      <c r="A10" s="8">
        <v>-87</v>
      </c>
      <c r="B10" s="8">
        <v>-87</v>
      </c>
      <c r="C10" s="8">
        <v>1</v>
      </c>
      <c r="D10" s="8">
        <v>34.4</v>
      </c>
      <c r="E10" s="8">
        <v>32.5</v>
      </c>
      <c r="F10" s="8">
        <v>29.3</v>
      </c>
      <c r="G10" s="8">
        <v>68.8</v>
      </c>
      <c r="H10" s="8">
        <v>65</v>
      </c>
      <c r="I10" s="8">
        <v>58.5</v>
      </c>
    </row>
    <row r="11" spans="1:9" x14ac:dyDescent="0.35">
      <c r="A11" s="8">
        <v>-84</v>
      </c>
      <c r="B11" s="8">
        <v>-84</v>
      </c>
      <c r="C11" s="8">
        <v>2</v>
      </c>
      <c r="D11" s="8">
        <v>51.6</v>
      </c>
      <c r="E11" s="8">
        <v>48.8</v>
      </c>
      <c r="F11" s="8">
        <v>43.9</v>
      </c>
      <c r="G11" s="8">
        <v>103.2</v>
      </c>
      <c r="H11" s="8">
        <v>97.5</v>
      </c>
      <c r="I11" s="8">
        <v>87.8</v>
      </c>
    </row>
    <row r="12" spans="1:9" x14ac:dyDescent="0.35">
      <c r="A12" s="8">
        <v>-80</v>
      </c>
      <c r="B12" s="8">
        <v>-81</v>
      </c>
      <c r="C12" s="8">
        <v>3</v>
      </c>
      <c r="D12" s="8">
        <v>68.8</v>
      </c>
      <c r="E12" s="8">
        <v>65</v>
      </c>
      <c r="F12" s="8">
        <v>58.5</v>
      </c>
      <c r="G12" s="8">
        <v>137.6</v>
      </c>
      <c r="H12" s="8">
        <v>130</v>
      </c>
      <c r="I12" s="8">
        <v>117</v>
      </c>
    </row>
    <row r="13" spans="1:9" x14ac:dyDescent="0.35">
      <c r="A13" s="8">
        <v>-76</v>
      </c>
      <c r="B13" s="8">
        <v>-77</v>
      </c>
      <c r="C13" s="8">
        <v>4</v>
      </c>
      <c r="D13" s="8">
        <v>103.2</v>
      </c>
      <c r="E13" s="8">
        <v>97.5</v>
      </c>
      <c r="F13" s="8">
        <v>87.8</v>
      </c>
      <c r="G13" s="8">
        <v>206.5</v>
      </c>
      <c r="H13" s="8">
        <v>195</v>
      </c>
      <c r="I13" s="8">
        <v>175.5</v>
      </c>
    </row>
    <row r="14" spans="1:9" x14ac:dyDescent="0.35">
      <c r="A14" s="8">
        <v>-72.5</v>
      </c>
      <c r="B14" s="8">
        <v>-72.5</v>
      </c>
      <c r="C14" s="8">
        <v>5</v>
      </c>
      <c r="D14" s="8">
        <v>137.6</v>
      </c>
      <c r="E14" s="8">
        <v>130</v>
      </c>
      <c r="F14" s="8">
        <v>117</v>
      </c>
      <c r="G14" s="8">
        <v>275.3</v>
      </c>
      <c r="H14" s="8">
        <v>260</v>
      </c>
      <c r="I14" s="8">
        <v>234</v>
      </c>
    </row>
    <row r="15" spans="1:9" x14ac:dyDescent="0.35">
      <c r="A15" s="8">
        <v>-69.5</v>
      </c>
      <c r="B15" s="8">
        <v>-70.5</v>
      </c>
      <c r="C15" s="8">
        <v>6</v>
      </c>
      <c r="D15" s="8">
        <v>154.9</v>
      </c>
      <c r="E15" s="8">
        <v>146.30000000000001</v>
      </c>
      <c r="F15" s="8">
        <v>131.6</v>
      </c>
      <c r="G15" s="8">
        <v>309.7</v>
      </c>
      <c r="H15" s="8">
        <v>292.5</v>
      </c>
      <c r="I15" s="8">
        <v>263.3</v>
      </c>
    </row>
    <row r="16" spans="1:9" x14ac:dyDescent="0.35">
      <c r="A16" s="8">
        <v>-67</v>
      </c>
      <c r="B16" s="8">
        <v>-68</v>
      </c>
      <c r="C16" s="8">
        <v>7</v>
      </c>
      <c r="D16" s="8">
        <v>172.1</v>
      </c>
      <c r="E16" s="8">
        <v>162.5</v>
      </c>
      <c r="F16" s="8">
        <v>146.30000000000001</v>
      </c>
      <c r="G16" s="8">
        <v>344.1</v>
      </c>
      <c r="H16" s="8">
        <v>325</v>
      </c>
      <c r="I16" s="8">
        <v>292.5</v>
      </c>
    </row>
    <row r="17" spans="1:9" x14ac:dyDescent="0.35">
      <c r="A17" s="8">
        <v>-64</v>
      </c>
      <c r="B17" s="8">
        <v>-64</v>
      </c>
      <c r="C17" s="8">
        <v>8</v>
      </c>
      <c r="D17" s="8">
        <v>206.5</v>
      </c>
      <c r="E17" s="8">
        <v>195</v>
      </c>
      <c r="F17" s="8">
        <v>175.5</v>
      </c>
      <c r="G17" s="8">
        <v>412.9</v>
      </c>
      <c r="H17" s="8">
        <v>390</v>
      </c>
      <c r="I17" s="8">
        <v>351</v>
      </c>
    </row>
    <row r="18" spans="1:9" x14ac:dyDescent="0.35">
      <c r="A18" s="8">
        <v>-61.5</v>
      </c>
      <c r="B18" s="8">
        <v>-61.5</v>
      </c>
      <c r="C18" s="8">
        <v>9</v>
      </c>
      <c r="D18" s="8">
        <v>229.4</v>
      </c>
      <c r="E18" s="8">
        <v>216.7</v>
      </c>
      <c r="F18" s="8">
        <v>195</v>
      </c>
      <c r="G18" s="8">
        <v>458.8</v>
      </c>
      <c r="H18" s="8">
        <v>433.3</v>
      </c>
      <c r="I18" s="8">
        <v>390</v>
      </c>
    </row>
    <row r="19" spans="1:9" x14ac:dyDescent="0.35">
      <c r="A19" s="8">
        <v>-56</v>
      </c>
      <c r="B19" s="8">
        <v>-57</v>
      </c>
      <c r="C19" s="8">
        <v>10</v>
      </c>
      <c r="D19" s="8">
        <v>258.10000000000002</v>
      </c>
      <c r="E19" s="8">
        <v>243.8</v>
      </c>
      <c r="F19" s="8">
        <v>219.4</v>
      </c>
      <c r="G19" s="8">
        <v>516.20000000000005</v>
      </c>
      <c r="H19" s="8">
        <v>487.5</v>
      </c>
      <c r="I19" s="8">
        <v>438.8</v>
      </c>
    </row>
    <row r="20" spans="1:9" x14ac:dyDescent="0.35">
      <c r="A20" s="8">
        <v>-54</v>
      </c>
      <c r="B20" s="8">
        <v>-55</v>
      </c>
      <c r="C20" s="8">
        <v>11</v>
      </c>
      <c r="D20" s="8">
        <v>286.8</v>
      </c>
      <c r="E20" s="8">
        <v>270.8</v>
      </c>
      <c r="F20" s="8">
        <v>243.8</v>
      </c>
      <c r="G20" s="8">
        <v>573.5</v>
      </c>
      <c r="H20" s="8">
        <v>541.70000000000005</v>
      </c>
      <c r="I20" s="8">
        <v>487.5</v>
      </c>
    </row>
  </sheetData>
  <mergeCells count="2">
    <mergeCell ref="D5:F5"/>
    <mergeCell ref="G5:I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"/>
  <sheetViews>
    <sheetView workbookViewId="0">
      <pane ySplit="6" topLeftCell="A7" activePane="bottomLeft" state="frozen"/>
      <selection pane="bottomLeft" activeCell="C5" sqref="C5:H5"/>
    </sheetView>
  </sheetViews>
  <sheetFormatPr defaultRowHeight="14.5" x14ac:dyDescent="0.35"/>
  <cols>
    <col min="1" max="1" width="10" customWidth="1"/>
    <col min="2" max="8" width="16" customWidth="1"/>
  </cols>
  <sheetData>
    <row r="1" spans="1:8" ht="17" x14ac:dyDescent="0.4">
      <c r="A1" s="3" t="s">
        <v>85</v>
      </c>
    </row>
    <row r="2" spans="1:8" x14ac:dyDescent="0.35">
      <c r="A2" s="2" t="s">
        <v>55</v>
      </c>
      <c r="B2" t="s">
        <v>31</v>
      </c>
    </row>
    <row r="4" spans="1:8" x14ac:dyDescent="0.35">
      <c r="A4" s="7" t="s">
        <v>56</v>
      </c>
      <c r="B4" s="7" t="s">
        <v>75</v>
      </c>
      <c r="C4" s="7" t="s">
        <v>57</v>
      </c>
    </row>
    <row r="5" spans="1:8" x14ac:dyDescent="0.35">
      <c r="A5" s="7"/>
      <c r="B5" s="7"/>
      <c r="C5" s="10" t="s">
        <v>78</v>
      </c>
      <c r="D5" s="11"/>
      <c r="E5" s="12"/>
      <c r="F5" s="10" t="s">
        <v>79</v>
      </c>
      <c r="G5" s="11"/>
      <c r="H5" s="11"/>
    </row>
    <row r="6" spans="1:8" x14ac:dyDescent="0.35">
      <c r="A6" s="7"/>
      <c r="B6" s="7"/>
      <c r="C6" s="7" t="s">
        <v>80</v>
      </c>
      <c r="D6" s="7" t="s">
        <v>81</v>
      </c>
      <c r="E6" s="7" t="s">
        <v>82</v>
      </c>
      <c r="F6" s="7" t="s">
        <v>80</v>
      </c>
      <c r="G6" s="7" t="s">
        <v>81</v>
      </c>
      <c r="H6" s="7" t="s">
        <v>82</v>
      </c>
    </row>
    <row r="7" spans="1:8" x14ac:dyDescent="0.35">
      <c r="A7" s="8">
        <v>-95</v>
      </c>
      <c r="B7" s="8" t="s">
        <v>67</v>
      </c>
      <c r="C7" s="8">
        <v>8.6</v>
      </c>
      <c r="D7" s="8">
        <v>8.1</v>
      </c>
      <c r="E7" s="8">
        <v>7.3</v>
      </c>
      <c r="F7" s="8" t="s">
        <v>83</v>
      </c>
      <c r="G7" s="8" t="s">
        <v>83</v>
      </c>
      <c r="H7" s="8" t="s">
        <v>83</v>
      </c>
    </row>
    <row r="8" spans="1:8" x14ac:dyDescent="0.35">
      <c r="A8" s="8">
        <v>-93</v>
      </c>
      <c r="B8" s="8" t="s">
        <v>69</v>
      </c>
      <c r="C8" s="8">
        <v>8.6</v>
      </c>
      <c r="D8" s="8">
        <v>8.1</v>
      </c>
      <c r="E8" s="8">
        <v>7.3</v>
      </c>
      <c r="F8" s="8">
        <v>17.2</v>
      </c>
      <c r="G8" s="8">
        <v>16.3</v>
      </c>
      <c r="H8" s="8">
        <v>14.6</v>
      </c>
    </row>
    <row r="9" spans="1:8" x14ac:dyDescent="0.35">
      <c r="A9" s="8">
        <v>-90</v>
      </c>
      <c r="B9" s="8" t="s">
        <v>71</v>
      </c>
      <c r="C9" s="8">
        <v>17.2</v>
      </c>
      <c r="D9" s="8">
        <v>16.3</v>
      </c>
      <c r="E9" s="8">
        <v>14.6</v>
      </c>
      <c r="F9" s="8">
        <v>34.4</v>
      </c>
      <c r="G9" s="8">
        <v>32.5</v>
      </c>
      <c r="H9" s="8">
        <v>29.3</v>
      </c>
    </row>
    <row r="10" spans="1:8" x14ac:dyDescent="0.35">
      <c r="A10" s="8">
        <v>-87</v>
      </c>
      <c r="B10" s="8">
        <v>0</v>
      </c>
      <c r="C10" s="8">
        <v>36</v>
      </c>
      <c r="D10" s="8">
        <v>34</v>
      </c>
      <c r="E10" s="8">
        <v>30.6</v>
      </c>
      <c r="F10" s="8">
        <v>72.099999999999994</v>
      </c>
      <c r="G10" s="8">
        <v>68.099999999999994</v>
      </c>
      <c r="H10" s="8">
        <v>61.3</v>
      </c>
    </row>
    <row r="11" spans="1:8" x14ac:dyDescent="0.35">
      <c r="A11" s="8">
        <v>-82.5</v>
      </c>
      <c r="B11" s="8">
        <v>1</v>
      </c>
      <c r="C11" s="8">
        <v>72.099999999999994</v>
      </c>
      <c r="D11" s="8">
        <v>68.099999999999994</v>
      </c>
      <c r="E11" s="8">
        <v>61.3</v>
      </c>
      <c r="F11" s="8">
        <v>144.1</v>
      </c>
      <c r="G11" s="8">
        <v>136.1</v>
      </c>
      <c r="H11" s="8">
        <v>122.5</v>
      </c>
    </row>
    <row r="12" spans="1:8" x14ac:dyDescent="0.35">
      <c r="A12" s="8">
        <v>-80.5</v>
      </c>
      <c r="B12" s="8">
        <v>2</v>
      </c>
      <c r="C12" s="8">
        <v>108.1</v>
      </c>
      <c r="D12" s="8">
        <v>102.1</v>
      </c>
      <c r="E12" s="8">
        <v>91.9</v>
      </c>
      <c r="F12" s="8">
        <v>216.2</v>
      </c>
      <c r="G12" s="8">
        <v>204.2</v>
      </c>
      <c r="H12" s="8">
        <v>183.8</v>
      </c>
    </row>
    <row r="13" spans="1:8" x14ac:dyDescent="0.35">
      <c r="A13" s="8">
        <v>-77.5</v>
      </c>
      <c r="B13" s="8">
        <v>3</v>
      </c>
      <c r="C13" s="8">
        <v>144.1</v>
      </c>
      <c r="D13" s="8">
        <v>136.1</v>
      </c>
      <c r="E13" s="8">
        <v>122.5</v>
      </c>
      <c r="F13" s="8">
        <v>288.2</v>
      </c>
      <c r="G13" s="8">
        <v>272.2</v>
      </c>
      <c r="H13" s="8">
        <v>245</v>
      </c>
    </row>
    <row r="14" spans="1:8" x14ac:dyDescent="0.35">
      <c r="A14" s="8">
        <v>-74</v>
      </c>
      <c r="B14" s="8">
        <v>4</v>
      </c>
      <c r="C14" s="8">
        <v>216.2</v>
      </c>
      <c r="D14" s="8">
        <v>204.2</v>
      </c>
      <c r="E14" s="8">
        <v>183.8</v>
      </c>
      <c r="F14" s="8">
        <v>432.4</v>
      </c>
      <c r="G14" s="8">
        <v>408.3</v>
      </c>
      <c r="H14" s="8">
        <v>367.5</v>
      </c>
    </row>
    <row r="15" spans="1:8" x14ac:dyDescent="0.35">
      <c r="A15" s="8">
        <v>-69.5</v>
      </c>
      <c r="B15" s="8">
        <v>5</v>
      </c>
      <c r="C15" s="8">
        <v>288.2</v>
      </c>
      <c r="D15" s="8">
        <v>272.2</v>
      </c>
      <c r="E15" s="8">
        <v>245</v>
      </c>
      <c r="F15" s="8">
        <v>576.5</v>
      </c>
      <c r="G15" s="8">
        <v>544.4</v>
      </c>
      <c r="H15" s="8">
        <v>490</v>
      </c>
    </row>
    <row r="16" spans="1:8" x14ac:dyDescent="0.35">
      <c r="A16" s="8">
        <v>-67</v>
      </c>
      <c r="B16" s="8">
        <v>6</v>
      </c>
      <c r="C16" s="8">
        <v>324.3</v>
      </c>
      <c r="D16" s="8">
        <v>306.3</v>
      </c>
      <c r="E16" s="8">
        <v>275.60000000000002</v>
      </c>
      <c r="F16" s="8">
        <v>648.5</v>
      </c>
      <c r="G16" s="8">
        <v>612.5</v>
      </c>
      <c r="H16" s="8">
        <v>551.29999999999995</v>
      </c>
    </row>
    <row r="17" spans="1:8" x14ac:dyDescent="0.35">
      <c r="A17" s="8">
        <v>-66</v>
      </c>
      <c r="B17" s="8">
        <v>7</v>
      </c>
      <c r="C17" s="8">
        <v>360.3</v>
      </c>
      <c r="D17" s="8">
        <v>340.3</v>
      </c>
      <c r="E17" s="8">
        <v>306.3</v>
      </c>
      <c r="F17" s="8">
        <v>720.6</v>
      </c>
      <c r="G17" s="8">
        <v>680.6</v>
      </c>
      <c r="H17" s="8">
        <v>612.5</v>
      </c>
    </row>
    <row r="18" spans="1:8" x14ac:dyDescent="0.35">
      <c r="A18" s="8">
        <v>-61.5</v>
      </c>
      <c r="B18" s="8">
        <v>8</v>
      </c>
      <c r="C18" s="8">
        <v>432.4</v>
      </c>
      <c r="D18" s="8">
        <v>408.3</v>
      </c>
      <c r="E18" s="8">
        <v>367.5</v>
      </c>
      <c r="F18" s="8">
        <v>864.7</v>
      </c>
      <c r="G18" s="8">
        <v>816.7</v>
      </c>
      <c r="H18" s="8">
        <v>735</v>
      </c>
    </row>
    <row r="19" spans="1:8" x14ac:dyDescent="0.35">
      <c r="A19" s="8">
        <v>-59.5</v>
      </c>
      <c r="B19" s="8">
        <v>9</v>
      </c>
      <c r="C19" s="8">
        <v>480.4</v>
      </c>
      <c r="D19" s="8">
        <v>453.7</v>
      </c>
      <c r="E19" s="8">
        <v>408.3</v>
      </c>
      <c r="F19" s="8">
        <v>960.7</v>
      </c>
      <c r="G19" s="8">
        <v>907.4</v>
      </c>
      <c r="H19" s="8">
        <v>816.6</v>
      </c>
    </row>
    <row r="20" spans="1:8" x14ac:dyDescent="0.35">
      <c r="A20" s="8">
        <v>-55.5</v>
      </c>
      <c r="B20" s="8">
        <v>10</v>
      </c>
      <c r="C20" s="8">
        <v>540.4</v>
      </c>
      <c r="D20" s="8">
        <v>510.4</v>
      </c>
      <c r="E20" s="8">
        <v>459.4</v>
      </c>
      <c r="F20" s="8">
        <v>1080.9000000000001</v>
      </c>
      <c r="G20" s="8">
        <v>1020.8</v>
      </c>
      <c r="H20" s="8">
        <v>918.8</v>
      </c>
    </row>
    <row r="21" spans="1:8" x14ac:dyDescent="0.35">
      <c r="A21" s="8">
        <v>-52.5</v>
      </c>
      <c r="B21" s="8">
        <v>11</v>
      </c>
      <c r="C21" s="8">
        <v>600.4</v>
      </c>
      <c r="D21" s="8">
        <v>567.1</v>
      </c>
      <c r="E21" s="8">
        <v>510.4</v>
      </c>
      <c r="F21" s="8">
        <v>1201</v>
      </c>
      <c r="G21" s="8">
        <v>1134.3</v>
      </c>
      <c r="H21" s="8">
        <v>1020.8</v>
      </c>
    </row>
  </sheetData>
  <mergeCells count="2">
    <mergeCell ref="C5:E5"/>
    <mergeCell ref="F5:H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"/>
  <sheetViews>
    <sheetView workbookViewId="0">
      <pane ySplit="6" topLeftCell="A7" activePane="bottomLeft" state="frozen"/>
      <selection pane="bottomLeft" activeCell="C5" sqref="C5:H5"/>
    </sheetView>
  </sheetViews>
  <sheetFormatPr defaultRowHeight="14.5" x14ac:dyDescent="0.35"/>
  <cols>
    <col min="1" max="1" width="10" customWidth="1"/>
    <col min="2" max="8" width="16" customWidth="1"/>
  </cols>
  <sheetData>
    <row r="1" spans="1:8" ht="17" x14ac:dyDescent="0.4">
      <c r="A1" s="3" t="s">
        <v>86</v>
      </c>
    </row>
    <row r="2" spans="1:8" x14ac:dyDescent="0.35">
      <c r="A2" s="2" t="s">
        <v>55</v>
      </c>
      <c r="B2" t="s">
        <v>33</v>
      </c>
    </row>
    <row r="4" spans="1:8" x14ac:dyDescent="0.35">
      <c r="A4" s="7" t="s">
        <v>56</v>
      </c>
      <c r="B4" s="7" t="s">
        <v>75</v>
      </c>
      <c r="C4" s="7" t="s">
        <v>57</v>
      </c>
    </row>
    <row r="5" spans="1:8" x14ac:dyDescent="0.35">
      <c r="A5" s="7"/>
      <c r="B5" s="7"/>
      <c r="C5" s="10" t="s">
        <v>78</v>
      </c>
      <c r="D5" s="11"/>
      <c r="E5" s="12"/>
      <c r="F5" s="10" t="s">
        <v>79</v>
      </c>
      <c r="G5" s="11"/>
      <c r="H5" s="11"/>
    </row>
    <row r="6" spans="1:8" x14ac:dyDescent="0.35">
      <c r="A6" s="7"/>
      <c r="B6" s="7"/>
      <c r="C6" s="7" t="s">
        <v>80</v>
      </c>
      <c r="D6" s="7" t="s">
        <v>81</v>
      </c>
      <c r="E6" s="7" t="s">
        <v>82</v>
      </c>
      <c r="F6" s="7" t="s">
        <v>80</v>
      </c>
      <c r="G6" s="7" t="s">
        <v>81</v>
      </c>
      <c r="H6" s="7" t="s">
        <v>82</v>
      </c>
    </row>
    <row r="7" spans="1:8" x14ac:dyDescent="0.35">
      <c r="A7" s="8">
        <v>-95</v>
      </c>
      <c r="B7" s="8" t="s">
        <v>67</v>
      </c>
      <c r="C7" s="8">
        <v>8.6</v>
      </c>
      <c r="D7" s="8">
        <v>8.1</v>
      </c>
      <c r="E7" s="8">
        <v>7.3</v>
      </c>
      <c r="F7" s="8" t="s">
        <v>83</v>
      </c>
      <c r="G7" s="8" t="s">
        <v>83</v>
      </c>
      <c r="H7" s="8" t="s">
        <v>83</v>
      </c>
    </row>
    <row r="8" spans="1:8" x14ac:dyDescent="0.35">
      <c r="A8" s="8">
        <v>-93</v>
      </c>
      <c r="B8" s="8" t="s">
        <v>69</v>
      </c>
      <c r="C8" s="8">
        <v>8.6</v>
      </c>
      <c r="D8" s="8">
        <v>8.1</v>
      </c>
      <c r="E8" s="8">
        <v>7.3</v>
      </c>
      <c r="F8" s="8">
        <v>17.2</v>
      </c>
      <c r="G8" s="8">
        <v>16.3</v>
      </c>
      <c r="H8" s="8">
        <v>14.6</v>
      </c>
    </row>
    <row r="9" spans="1:8" x14ac:dyDescent="0.35">
      <c r="A9" s="8">
        <v>-90</v>
      </c>
      <c r="B9" s="8" t="s">
        <v>71</v>
      </c>
      <c r="C9" s="8">
        <v>17.2</v>
      </c>
      <c r="D9" s="8">
        <v>16.3</v>
      </c>
      <c r="E9" s="8">
        <v>14.6</v>
      </c>
      <c r="F9" s="8">
        <v>34.4</v>
      </c>
      <c r="G9" s="8">
        <v>32.5</v>
      </c>
      <c r="H9" s="8">
        <v>29.3</v>
      </c>
    </row>
    <row r="10" spans="1:8" x14ac:dyDescent="0.35">
      <c r="A10" s="8">
        <v>-87</v>
      </c>
      <c r="B10" s="8" t="s">
        <v>73</v>
      </c>
      <c r="C10" s="8">
        <v>36</v>
      </c>
      <c r="D10" s="8">
        <v>34</v>
      </c>
      <c r="E10" s="8">
        <v>30.6</v>
      </c>
      <c r="F10" s="8">
        <v>72.099999999999994</v>
      </c>
      <c r="G10" s="8">
        <v>68.099999999999994</v>
      </c>
      <c r="H10" s="8">
        <v>61.3</v>
      </c>
    </row>
    <row r="11" spans="1:8" x14ac:dyDescent="0.35">
      <c r="A11" s="8">
        <v>-84</v>
      </c>
      <c r="B11" s="8">
        <v>0</v>
      </c>
      <c r="C11" s="8">
        <v>72.099999999999994</v>
      </c>
      <c r="D11" s="8">
        <v>68.099999999999994</v>
      </c>
      <c r="E11" s="8">
        <v>61.3</v>
      </c>
      <c r="F11" s="8">
        <v>144.1</v>
      </c>
      <c r="G11" s="8">
        <v>136.1</v>
      </c>
      <c r="H11" s="8">
        <v>122.5</v>
      </c>
    </row>
    <row r="12" spans="1:8" x14ac:dyDescent="0.35">
      <c r="A12" s="8">
        <v>-81</v>
      </c>
      <c r="B12" s="8">
        <v>1</v>
      </c>
      <c r="C12" s="8">
        <v>144.1</v>
      </c>
      <c r="D12" s="8">
        <v>136.1</v>
      </c>
      <c r="E12" s="8">
        <v>122.5</v>
      </c>
      <c r="F12" s="8">
        <v>288.2</v>
      </c>
      <c r="G12" s="8">
        <v>272.2</v>
      </c>
      <c r="H12" s="8">
        <v>245</v>
      </c>
    </row>
    <row r="13" spans="1:8" x14ac:dyDescent="0.35">
      <c r="A13" s="8">
        <v>-78</v>
      </c>
      <c r="B13" s="8">
        <v>2</v>
      </c>
      <c r="C13" s="8">
        <v>216.2</v>
      </c>
      <c r="D13" s="8">
        <v>204.2</v>
      </c>
      <c r="E13" s="8">
        <v>183.8</v>
      </c>
      <c r="F13" s="8">
        <v>432.4</v>
      </c>
      <c r="G13" s="8">
        <v>408.3</v>
      </c>
      <c r="H13" s="8">
        <v>367.5</v>
      </c>
    </row>
    <row r="14" spans="1:8" x14ac:dyDescent="0.35">
      <c r="A14" s="8">
        <v>-75</v>
      </c>
      <c r="B14" s="8">
        <v>3</v>
      </c>
      <c r="C14" s="8">
        <v>288.2</v>
      </c>
      <c r="D14" s="8">
        <v>272.2</v>
      </c>
      <c r="E14" s="8">
        <v>245</v>
      </c>
      <c r="F14" s="8">
        <v>576.5</v>
      </c>
      <c r="G14" s="8">
        <v>544.4</v>
      </c>
      <c r="H14" s="8">
        <v>490</v>
      </c>
    </row>
    <row r="15" spans="1:8" x14ac:dyDescent="0.35">
      <c r="A15" s="8">
        <v>-71.5</v>
      </c>
      <c r="B15" s="8">
        <v>4</v>
      </c>
      <c r="C15" s="8">
        <v>432.4</v>
      </c>
      <c r="D15" s="8">
        <v>408.3</v>
      </c>
      <c r="E15" s="8">
        <v>367.5</v>
      </c>
      <c r="F15" s="8">
        <v>864.7</v>
      </c>
      <c r="G15" s="8">
        <v>816.7</v>
      </c>
      <c r="H15" s="8">
        <v>735</v>
      </c>
    </row>
    <row r="16" spans="1:8" x14ac:dyDescent="0.35">
      <c r="A16" s="8">
        <v>-67.5</v>
      </c>
      <c r="B16" s="8">
        <v>5</v>
      </c>
      <c r="C16" s="8">
        <v>576.5</v>
      </c>
      <c r="D16" s="8">
        <v>544.4</v>
      </c>
      <c r="E16" s="8">
        <v>490</v>
      </c>
      <c r="F16" s="8">
        <v>1152.9000000000001</v>
      </c>
      <c r="G16" s="8">
        <v>1088.9000000000001</v>
      </c>
      <c r="H16" s="8">
        <v>980</v>
      </c>
    </row>
    <row r="17" spans="1:8" x14ac:dyDescent="0.35">
      <c r="A17" s="8">
        <v>-65</v>
      </c>
      <c r="B17" s="8">
        <v>6</v>
      </c>
      <c r="C17" s="8">
        <v>648.5</v>
      </c>
      <c r="D17" s="8">
        <v>612.5</v>
      </c>
      <c r="E17" s="8">
        <v>551.29999999999995</v>
      </c>
      <c r="F17" s="8">
        <v>1297.0999999999999</v>
      </c>
      <c r="G17" s="8">
        <v>1225</v>
      </c>
      <c r="H17" s="8">
        <v>1102.5</v>
      </c>
    </row>
    <row r="18" spans="1:8" x14ac:dyDescent="0.35">
      <c r="A18" s="8">
        <v>-63.5</v>
      </c>
      <c r="B18" s="8">
        <v>7</v>
      </c>
      <c r="C18" s="8">
        <v>720.6</v>
      </c>
      <c r="D18" s="8">
        <v>680.6</v>
      </c>
      <c r="E18" s="8">
        <v>612.5</v>
      </c>
      <c r="F18" s="8">
        <v>1441.2</v>
      </c>
      <c r="G18" s="8">
        <v>1361.1</v>
      </c>
      <c r="H18" s="8">
        <v>1225</v>
      </c>
    </row>
    <row r="19" spans="1:8" x14ac:dyDescent="0.35">
      <c r="A19" s="8">
        <v>-59</v>
      </c>
      <c r="B19" s="8">
        <v>8</v>
      </c>
      <c r="C19" s="8">
        <v>864.7</v>
      </c>
      <c r="D19" s="8">
        <v>816.7</v>
      </c>
      <c r="E19" s="8">
        <v>735</v>
      </c>
      <c r="F19" s="8">
        <v>1729.4</v>
      </c>
      <c r="G19" s="8">
        <v>1633.3</v>
      </c>
      <c r="H19" s="8">
        <v>1470</v>
      </c>
    </row>
    <row r="20" spans="1:8" x14ac:dyDescent="0.35">
      <c r="A20" s="8">
        <v>-57</v>
      </c>
      <c r="B20" s="8">
        <v>9</v>
      </c>
      <c r="C20" s="8">
        <v>960.7</v>
      </c>
      <c r="D20" s="8">
        <v>907.4</v>
      </c>
      <c r="E20" s="8">
        <v>816.6</v>
      </c>
      <c r="F20" s="8">
        <v>1921.5</v>
      </c>
      <c r="G20" s="8">
        <v>1814.8</v>
      </c>
      <c r="H20" s="8">
        <v>1633.3</v>
      </c>
    </row>
    <row r="21" spans="1:8" x14ac:dyDescent="0.35">
      <c r="A21" s="8">
        <v>-53.5</v>
      </c>
      <c r="B21" s="8">
        <v>10</v>
      </c>
      <c r="C21" s="8">
        <v>1080.9000000000001</v>
      </c>
      <c r="D21" s="8">
        <v>1020.8</v>
      </c>
      <c r="E21" s="8">
        <v>918.8</v>
      </c>
      <c r="F21" s="8">
        <v>2161.8000000000002</v>
      </c>
      <c r="G21" s="8">
        <v>2041.7</v>
      </c>
      <c r="H21" s="8">
        <v>1837.5</v>
      </c>
    </row>
    <row r="22" spans="1:8" x14ac:dyDescent="0.35">
      <c r="A22" s="8">
        <v>-50.5</v>
      </c>
      <c r="B22" s="8">
        <v>11</v>
      </c>
      <c r="C22" s="8">
        <v>1201</v>
      </c>
      <c r="D22" s="8">
        <v>1134.2</v>
      </c>
      <c r="E22" s="8">
        <v>1020.8</v>
      </c>
      <c r="F22" s="8">
        <v>2401.9</v>
      </c>
      <c r="G22" s="8">
        <v>2268.5</v>
      </c>
      <c r="H22" s="8">
        <v>2041.6</v>
      </c>
    </row>
  </sheetData>
  <mergeCells count="2">
    <mergeCell ref="C5:E5"/>
    <mergeCell ref="F5:H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pane ySplit="6" topLeftCell="A7" activePane="bottomLeft" state="frozen"/>
      <selection pane="bottomLeft" activeCell="D5" sqref="D5:I5"/>
    </sheetView>
  </sheetViews>
  <sheetFormatPr defaultRowHeight="14.5" x14ac:dyDescent="0.35"/>
  <cols>
    <col min="1" max="1" width="10" customWidth="1"/>
    <col min="2" max="9" width="16" customWidth="1"/>
  </cols>
  <sheetData>
    <row r="1" spans="1:9" ht="17" x14ac:dyDescent="0.4">
      <c r="A1" s="3" t="s">
        <v>87</v>
      </c>
    </row>
    <row r="2" spans="1:9" x14ac:dyDescent="0.35">
      <c r="A2" s="2" t="s">
        <v>55</v>
      </c>
      <c r="B2" t="s">
        <v>35</v>
      </c>
    </row>
    <row r="4" spans="1:9" x14ac:dyDescent="0.35">
      <c r="A4" s="7" t="s">
        <v>56</v>
      </c>
      <c r="B4" s="7" t="s">
        <v>75</v>
      </c>
      <c r="C4" s="7" t="s">
        <v>57</v>
      </c>
    </row>
    <row r="5" spans="1:9" x14ac:dyDescent="0.35">
      <c r="A5" s="7" t="s">
        <v>76</v>
      </c>
      <c r="B5" s="7" t="s">
        <v>77</v>
      </c>
      <c r="C5" s="7"/>
      <c r="D5" s="10" t="s">
        <v>78</v>
      </c>
      <c r="E5" s="11"/>
      <c r="F5" s="12"/>
      <c r="G5" s="10" t="s">
        <v>79</v>
      </c>
      <c r="H5" s="11"/>
      <c r="I5" s="11"/>
    </row>
    <row r="6" spans="1:9" x14ac:dyDescent="0.35">
      <c r="A6" s="7"/>
      <c r="B6" s="7"/>
      <c r="C6" s="7"/>
      <c r="D6" s="7" t="s">
        <v>80</v>
      </c>
      <c r="E6" s="7" t="s">
        <v>81</v>
      </c>
      <c r="F6" s="7" t="s">
        <v>82</v>
      </c>
      <c r="G6" s="7" t="s">
        <v>80</v>
      </c>
      <c r="H6" s="7" t="s">
        <v>81</v>
      </c>
      <c r="I6" s="7" t="s">
        <v>82</v>
      </c>
    </row>
    <row r="7" spans="1:9" x14ac:dyDescent="0.35">
      <c r="A7" s="8">
        <v>-95</v>
      </c>
      <c r="B7" s="8">
        <v>-95</v>
      </c>
      <c r="C7" s="8" t="s">
        <v>67</v>
      </c>
      <c r="D7" s="8">
        <v>8.6</v>
      </c>
      <c r="E7" s="8">
        <v>8.1</v>
      </c>
      <c r="F7" s="8">
        <v>7.3</v>
      </c>
      <c r="G7" s="8" t="s">
        <v>83</v>
      </c>
      <c r="H7" s="8" t="s">
        <v>83</v>
      </c>
      <c r="I7" s="8" t="s">
        <v>83</v>
      </c>
    </row>
    <row r="8" spans="1:9" x14ac:dyDescent="0.35">
      <c r="A8" s="8">
        <v>-92</v>
      </c>
      <c r="B8" s="8">
        <v>-93</v>
      </c>
      <c r="C8" s="8">
        <v>0</v>
      </c>
      <c r="D8" s="8">
        <v>8.6</v>
      </c>
      <c r="E8" s="8">
        <v>8.1</v>
      </c>
      <c r="F8" s="8">
        <v>7.3</v>
      </c>
      <c r="G8" s="8">
        <v>17.2</v>
      </c>
      <c r="H8" s="8">
        <v>16.2</v>
      </c>
      <c r="I8" s="8">
        <v>14.6</v>
      </c>
    </row>
    <row r="9" spans="1:9" x14ac:dyDescent="0.35">
      <c r="A9" s="8">
        <v>-90</v>
      </c>
      <c r="B9" s="8">
        <v>-90</v>
      </c>
      <c r="C9" s="8">
        <v>1</v>
      </c>
      <c r="D9" s="8">
        <v>17.2</v>
      </c>
      <c r="E9" s="8">
        <v>16.3</v>
      </c>
      <c r="F9" s="8">
        <v>14.6</v>
      </c>
      <c r="G9" s="8">
        <v>34.4</v>
      </c>
      <c r="H9" s="8">
        <v>32.6</v>
      </c>
      <c r="I9" s="8">
        <v>29.2</v>
      </c>
    </row>
    <row r="10" spans="1:9" x14ac:dyDescent="0.35">
      <c r="A10" s="8">
        <v>-87</v>
      </c>
      <c r="B10" s="8">
        <v>-87</v>
      </c>
      <c r="C10" s="8">
        <v>2</v>
      </c>
      <c r="D10" s="8">
        <v>25.8</v>
      </c>
      <c r="E10" s="8">
        <v>24.4</v>
      </c>
      <c r="F10" s="8">
        <v>21.9</v>
      </c>
      <c r="G10" s="8">
        <v>51.6</v>
      </c>
      <c r="H10" s="8">
        <v>48.8</v>
      </c>
      <c r="I10" s="8">
        <v>43.8</v>
      </c>
    </row>
    <row r="11" spans="1:9" x14ac:dyDescent="0.35">
      <c r="A11" s="8">
        <v>-83.5</v>
      </c>
      <c r="B11" s="8">
        <v>-84.5</v>
      </c>
      <c r="C11" s="8">
        <v>3</v>
      </c>
      <c r="D11" s="8">
        <v>34.4</v>
      </c>
      <c r="E11" s="8">
        <v>32.5</v>
      </c>
      <c r="F11" s="8">
        <v>29.3</v>
      </c>
      <c r="G11" s="8">
        <v>68.8</v>
      </c>
      <c r="H11" s="8">
        <v>65</v>
      </c>
      <c r="I11" s="8">
        <v>58.6</v>
      </c>
    </row>
    <row r="12" spans="1:9" x14ac:dyDescent="0.35">
      <c r="A12" s="8">
        <v>-79</v>
      </c>
      <c r="B12" s="8">
        <v>-80</v>
      </c>
      <c r="C12" s="8">
        <v>4</v>
      </c>
      <c r="D12" s="8">
        <v>51.6</v>
      </c>
      <c r="E12" s="8">
        <v>48.8</v>
      </c>
      <c r="F12" s="8">
        <v>43.9</v>
      </c>
      <c r="G12" s="8">
        <v>103.2</v>
      </c>
      <c r="H12" s="8">
        <v>97.6</v>
      </c>
      <c r="I12" s="8">
        <v>87.8</v>
      </c>
    </row>
    <row r="13" spans="1:9" x14ac:dyDescent="0.35">
      <c r="A13" s="8">
        <v>-75</v>
      </c>
      <c r="B13" s="8">
        <v>-75</v>
      </c>
      <c r="C13" s="8">
        <v>5</v>
      </c>
      <c r="D13" s="8">
        <v>68.8</v>
      </c>
      <c r="E13" s="8">
        <v>65</v>
      </c>
      <c r="F13" s="8">
        <v>58.5</v>
      </c>
      <c r="G13" s="8">
        <v>137.6</v>
      </c>
      <c r="H13" s="8">
        <v>130</v>
      </c>
      <c r="I13" s="8">
        <v>117</v>
      </c>
    </row>
    <row r="14" spans="1:9" x14ac:dyDescent="0.35">
      <c r="A14" s="8">
        <v>-72.5</v>
      </c>
      <c r="B14" s="8">
        <v>-73.5</v>
      </c>
      <c r="C14" s="8">
        <v>6</v>
      </c>
      <c r="D14" s="8">
        <v>77.400000000000006</v>
      </c>
      <c r="E14" s="8">
        <v>73.099999999999994</v>
      </c>
      <c r="F14" s="8">
        <v>65.8</v>
      </c>
      <c r="G14" s="8">
        <v>154.80000000000001</v>
      </c>
      <c r="H14" s="8">
        <v>146.19999999999999</v>
      </c>
      <c r="I14" s="8">
        <v>131.6</v>
      </c>
    </row>
    <row r="15" spans="1:9" x14ac:dyDescent="0.35">
      <c r="A15" s="8">
        <v>-70</v>
      </c>
      <c r="B15" s="8">
        <v>-71</v>
      </c>
      <c r="C15" s="8">
        <v>7</v>
      </c>
      <c r="D15" s="8">
        <v>86</v>
      </c>
      <c r="E15" s="8">
        <v>81.3</v>
      </c>
      <c r="F15" s="8">
        <v>73.099999999999994</v>
      </c>
      <c r="G15" s="8">
        <v>172</v>
      </c>
      <c r="H15" s="8">
        <v>162.6</v>
      </c>
      <c r="I15" s="8">
        <v>146.19999999999999</v>
      </c>
    </row>
    <row r="16" spans="1:9" x14ac:dyDescent="0.35">
      <c r="A16" s="8">
        <v>-67</v>
      </c>
      <c r="B16" s="8">
        <v>-68</v>
      </c>
      <c r="C16" s="8">
        <v>8</v>
      </c>
      <c r="D16" s="8">
        <v>103.2</v>
      </c>
      <c r="E16" s="8">
        <v>97.5</v>
      </c>
      <c r="F16" s="8">
        <v>87.8</v>
      </c>
      <c r="G16" s="8">
        <v>206.4</v>
      </c>
      <c r="H16" s="8">
        <v>195</v>
      </c>
      <c r="I16" s="8">
        <v>175.6</v>
      </c>
    </row>
    <row r="17" spans="1:9" x14ac:dyDescent="0.35">
      <c r="A17" s="8">
        <v>-64.5</v>
      </c>
      <c r="B17" s="8">
        <v>-65.5</v>
      </c>
      <c r="C17" s="8">
        <v>9</v>
      </c>
      <c r="D17" s="8">
        <v>114.7</v>
      </c>
      <c r="E17" s="8">
        <v>108.3</v>
      </c>
      <c r="F17" s="8">
        <v>97.5</v>
      </c>
      <c r="G17" s="8">
        <v>229.4</v>
      </c>
      <c r="H17" s="8">
        <v>216.6</v>
      </c>
      <c r="I17" s="8">
        <v>195</v>
      </c>
    </row>
    <row r="18" spans="1:9" x14ac:dyDescent="0.35">
      <c r="A18" s="8">
        <v>-59</v>
      </c>
      <c r="B18" s="8">
        <v>-60</v>
      </c>
      <c r="C18" s="8">
        <v>10</v>
      </c>
      <c r="D18" s="8">
        <v>129</v>
      </c>
      <c r="E18" s="8">
        <v>121.9</v>
      </c>
      <c r="F18" s="8">
        <v>109.7</v>
      </c>
      <c r="G18" s="8">
        <v>258</v>
      </c>
      <c r="H18" s="8">
        <v>243.8</v>
      </c>
      <c r="I18" s="8">
        <v>219.4</v>
      </c>
    </row>
    <row r="19" spans="1:9" x14ac:dyDescent="0.35">
      <c r="A19" s="8">
        <v>-57</v>
      </c>
      <c r="B19" s="8">
        <v>-58</v>
      </c>
      <c r="C19" s="8">
        <v>11</v>
      </c>
      <c r="D19" s="8">
        <v>143.4</v>
      </c>
      <c r="E19" s="8">
        <v>135.4</v>
      </c>
      <c r="F19" s="8">
        <v>121.9</v>
      </c>
      <c r="G19" s="8">
        <v>286.8</v>
      </c>
      <c r="H19" s="8">
        <v>270.8</v>
      </c>
      <c r="I19" s="8">
        <v>243.8</v>
      </c>
    </row>
    <row r="20" spans="1:9" x14ac:dyDescent="0.35">
      <c r="A20" s="8">
        <v>-52.5</v>
      </c>
      <c r="B20" s="8">
        <v>-53.5</v>
      </c>
      <c r="C20" s="8">
        <v>12</v>
      </c>
      <c r="D20" s="8">
        <v>154.9</v>
      </c>
      <c r="E20" s="8">
        <v>146.30000000000001</v>
      </c>
      <c r="F20" s="8">
        <v>131.6</v>
      </c>
      <c r="G20" s="8">
        <v>309.8</v>
      </c>
      <c r="H20" s="8">
        <v>292.60000000000002</v>
      </c>
      <c r="I20" s="8">
        <v>263.2</v>
      </c>
    </row>
    <row r="21" spans="1:9" x14ac:dyDescent="0.35">
      <c r="A21" s="8">
        <v>-50.5</v>
      </c>
      <c r="B21" s="8">
        <v>-50.5</v>
      </c>
      <c r="C21" s="8">
        <v>13</v>
      </c>
      <c r="D21" s="8">
        <v>172.1</v>
      </c>
      <c r="E21" s="8">
        <v>162.5</v>
      </c>
      <c r="F21" s="8">
        <v>146.30000000000001</v>
      </c>
      <c r="G21" s="8">
        <v>344.2</v>
      </c>
      <c r="H21" s="8">
        <v>325</v>
      </c>
      <c r="I21" s="8">
        <v>292.60000000000002</v>
      </c>
    </row>
  </sheetData>
  <mergeCells count="2">
    <mergeCell ref="D5:F5"/>
    <mergeCell ref="G5:I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2"/>
  <sheetViews>
    <sheetView workbookViewId="0">
      <pane ySplit="6" topLeftCell="A7" activePane="bottomLeft" state="frozen"/>
      <selection pane="bottomLeft" activeCell="D5" sqref="D5:I5"/>
    </sheetView>
  </sheetViews>
  <sheetFormatPr defaultRowHeight="14.5" x14ac:dyDescent="0.35"/>
  <cols>
    <col min="1" max="1" width="10" customWidth="1"/>
    <col min="2" max="9" width="16" customWidth="1"/>
  </cols>
  <sheetData>
    <row r="1" spans="1:9" ht="17" x14ac:dyDescent="0.4">
      <c r="A1" s="3" t="s">
        <v>88</v>
      </c>
    </row>
    <row r="2" spans="1:9" x14ac:dyDescent="0.35">
      <c r="A2" s="2" t="s">
        <v>55</v>
      </c>
      <c r="B2" t="s">
        <v>37</v>
      </c>
    </row>
    <row r="4" spans="1:9" x14ac:dyDescent="0.35">
      <c r="A4" s="7" t="s">
        <v>56</v>
      </c>
      <c r="B4" s="7" t="s">
        <v>75</v>
      </c>
      <c r="C4" s="7" t="s">
        <v>57</v>
      </c>
    </row>
    <row r="5" spans="1:9" x14ac:dyDescent="0.35">
      <c r="A5" s="7" t="s">
        <v>76</v>
      </c>
      <c r="B5" s="7" t="s">
        <v>77</v>
      </c>
      <c r="C5" s="7"/>
      <c r="D5" s="10" t="s">
        <v>78</v>
      </c>
      <c r="E5" s="11"/>
      <c r="F5" s="12"/>
      <c r="G5" s="10" t="s">
        <v>79</v>
      </c>
      <c r="H5" s="11"/>
      <c r="I5" s="11"/>
    </row>
    <row r="6" spans="1:9" x14ac:dyDescent="0.35">
      <c r="A6" s="7"/>
      <c r="B6" s="7"/>
      <c r="C6" s="7"/>
      <c r="D6" s="7" t="s">
        <v>80</v>
      </c>
      <c r="E6" s="7" t="s">
        <v>81</v>
      </c>
      <c r="F6" s="7" t="s">
        <v>82</v>
      </c>
      <c r="G6" s="7" t="s">
        <v>80</v>
      </c>
      <c r="H6" s="7" t="s">
        <v>81</v>
      </c>
      <c r="I6" s="7" t="s">
        <v>82</v>
      </c>
    </row>
    <row r="7" spans="1:9" x14ac:dyDescent="0.35">
      <c r="A7" s="8">
        <v>-95</v>
      </c>
      <c r="B7" s="8">
        <v>-95</v>
      </c>
      <c r="C7" s="8" t="s">
        <v>67</v>
      </c>
      <c r="D7" s="8">
        <v>8.6</v>
      </c>
      <c r="E7" s="8">
        <v>8.1</v>
      </c>
      <c r="F7" s="8">
        <v>7.3</v>
      </c>
      <c r="G7" s="8" t="s">
        <v>83</v>
      </c>
      <c r="H7" s="8" t="s">
        <v>83</v>
      </c>
      <c r="I7" s="8" t="s">
        <v>83</v>
      </c>
    </row>
    <row r="8" spans="1:9" x14ac:dyDescent="0.35">
      <c r="A8" s="8">
        <v>-92</v>
      </c>
      <c r="B8" s="8">
        <v>-93</v>
      </c>
      <c r="C8" s="8" t="s">
        <v>69</v>
      </c>
      <c r="D8" s="8">
        <v>8.6</v>
      </c>
      <c r="E8" s="8">
        <v>8.1</v>
      </c>
      <c r="F8" s="8">
        <v>7.3</v>
      </c>
      <c r="G8" s="8">
        <v>17.2</v>
      </c>
      <c r="H8" s="8">
        <v>16.2</v>
      </c>
      <c r="I8" s="8">
        <v>14.6</v>
      </c>
    </row>
    <row r="9" spans="1:9" x14ac:dyDescent="0.35">
      <c r="A9" s="8">
        <v>-89</v>
      </c>
      <c r="B9" s="8">
        <v>-90</v>
      </c>
      <c r="C9" s="8">
        <v>0</v>
      </c>
      <c r="D9" s="8">
        <v>17.2</v>
      </c>
      <c r="E9" s="8">
        <v>16.3</v>
      </c>
      <c r="F9" s="8">
        <v>14.6</v>
      </c>
      <c r="G9" s="8">
        <v>34.4</v>
      </c>
      <c r="H9" s="8">
        <v>32.6</v>
      </c>
      <c r="I9" s="8">
        <v>29.2</v>
      </c>
    </row>
    <row r="10" spans="1:9" x14ac:dyDescent="0.35">
      <c r="A10" s="8">
        <v>-87</v>
      </c>
      <c r="B10" s="8">
        <v>-87</v>
      </c>
      <c r="C10" s="8">
        <v>1</v>
      </c>
      <c r="D10" s="8">
        <v>34.4</v>
      </c>
      <c r="E10" s="8">
        <v>32.5</v>
      </c>
      <c r="F10" s="8">
        <v>29.3</v>
      </c>
      <c r="G10" s="8">
        <v>68.8</v>
      </c>
      <c r="H10" s="8">
        <v>65</v>
      </c>
      <c r="I10" s="8">
        <v>58.6</v>
      </c>
    </row>
    <row r="11" spans="1:9" x14ac:dyDescent="0.35">
      <c r="A11" s="8">
        <v>-84</v>
      </c>
      <c r="B11" s="8">
        <v>-84</v>
      </c>
      <c r="C11" s="8">
        <v>2</v>
      </c>
      <c r="D11" s="8">
        <v>51.6</v>
      </c>
      <c r="E11" s="8">
        <v>48.8</v>
      </c>
      <c r="F11" s="8">
        <v>43.9</v>
      </c>
      <c r="G11" s="8">
        <v>103.2</v>
      </c>
      <c r="H11" s="8">
        <v>97.6</v>
      </c>
      <c r="I11" s="8">
        <v>87.8</v>
      </c>
    </row>
    <row r="12" spans="1:9" x14ac:dyDescent="0.35">
      <c r="A12" s="8">
        <v>-80</v>
      </c>
      <c r="B12" s="8">
        <v>-81</v>
      </c>
      <c r="C12" s="8">
        <v>3</v>
      </c>
      <c r="D12" s="8">
        <v>68.8</v>
      </c>
      <c r="E12" s="8">
        <v>65</v>
      </c>
      <c r="F12" s="8">
        <v>58.5</v>
      </c>
      <c r="G12" s="8">
        <v>137.6</v>
      </c>
      <c r="H12" s="8">
        <v>130</v>
      </c>
      <c r="I12" s="8">
        <v>117</v>
      </c>
    </row>
    <row r="13" spans="1:9" x14ac:dyDescent="0.35">
      <c r="A13" s="8">
        <v>-77</v>
      </c>
      <c r="B13" s="8">
        <v>-77</v>
      </c>
      <c r="C13" s="8">
        <v>4</v>
      </c>
      <c r="D13" s="8">
        <v>103.2</v>
      </c>
      <c r="E13" s="8">
        <v>97.5</v>
      </c>
      <c r="F13" s="8">
        <v>87.8</v>
      </c>
      <c r="G13" s="8">
        <v>206.4</v>
      </c>
      <c r="H13" s="8">
        <v>195</v>
      </c>
      <c r="I13" s="8">
        <v>175.6</v>
      </c>
    </row>
    <row r="14" spans="1:9" x14ac:dyDescent="0.35">
      <c r="A14" s="8">
        <v>-72.5</v>
      </c>
      <c r="B14" s="8">
        <v>-72.5</v>
      </c>
      <c r="C14" s="8">
        <v>5</v>
      </c>
      <c r="D14" s="8">
        <v>137.6</v>
      </c>
      <c r="E14" s="8">
        <v>130</v>
      </c>
      <c r="F14" s="8">
        <v>117</v>
      </c>
      <c r="G14" s="8">
        <v>275.2</v>
      </c>
      <c r="H14" s="8">
        <v>260</v>
      </c>
      <c r="I14" s="8">
        <v>234</v>
      </c>
    </row>
    <row r="15" spans="1:9" x14ac:dyDescent="0.35">
      <c r="A15" s="8">
        <v>-69.5</v>
      </c>
      <c r="B15" s="8">
        <v>-70.5</v>
      </c>
      <c r="C15" s="8">
        <v>6</v>
      </c>
      <c r="D15" s="8">
        <v>154.9</v>
      </c>
      <c r="E15" s="8">
        <v>146.30000000000001</v>
      </c>
      <c r="F15" s="8">
        <v>131.6</v>
      </c>
      <c r="G15" s="8">
        <v>309.8</v>
      </c>
      <c r="H15" s="8">
        <v>292.60000000000002</v>
      </c>
      <c r="I15" s="8">
        <v>263.2</v>
      </c>
    </row>
    <row r="16" spans="1:9" x14ac:dyDescent="0.35">
      <c r="A16" s="8">
        <v>-67</v>
      </c>
      <c r="B16" s="8">
        <v>-68</v>
      </c>
      <c r="C16" s="8">
        <v>7</v>
      </c>
      <c r="D16" s="8">
        <v>172.1</v>
      </c>
      <c r="E16" s="8">
        <v>162.5</v>
      </c>
      <c r="F16" s="8">
        <v>146.30000000000001</v>
      </c>
      <c r="G16" s="8">
        <v>344.2</v>
      </c>
      <c r="H16" s="8">
        <v>325</v>
      </c>
      <c r="I16" s="8">
        <v>292.60000000000002</v>
      </c>
    </row>
    <row r="17" spans="1:9" x14ac:dyDescent="0.35">
      <c r="A17" s="8">
        <v>-64</v>
      </c>
      <c r="B17" s="8">
        <v>-65</v>
      </c>
      <c r="C17" s="8">
        <v>8</v>
      </c>
      <c r="D17" s="8">
        <v>206.5</v>
      </c>
      <c r="E17" s="8">
        <v>195</v>
      </c>
      <c r="F17" s="8">
        <v>175.5</v>
      </c>
      <c r="G17" s="8">
        <v>413</v>
      </c>
      <c r="H17" s="8">
        <v>390</v>
      </c>
      <c r="I17" s="8">
        <v>351</v>
      </c>
    </row>
    <row r="18" spans="1:9" x14ac:dyDescent="0.35">
      <c r="A18" s="8">
        <v>-61.5</v>
      </c>
      <c r="B18" s="8">
        <v>-62.5</v>
      </c>
      <c r="C18" s="8">
        <v>9</v>
      </c>
      <c r="D18" s="8">
        <v>229.4</v>
      </c>
      <c r="E18" s="8">
        <v>216.7</v>
      </c>
      <c r="F18" s="8">
        <v>195</v>
      </c>
      <c r="G18" s="8">
        <v>458.8</v>
      </c>
      <c r="H18" s="8">
        <v>433.4</v>
      </c>
      <c r="I18" s="8">
        <v>390</v>
      </c>
    </row>
    <row r="19" spans="1:9" x14ac:dyDescent="0.35">
      <c r="A19" s="8">
        <v>-56</v>
      </c>
      <c r="B19" s="8">
        <v>-57</v>
      </c>
      <c r="C19" s="8">
        <v>10</v>
      </c>
      <c r="D19" s="8">
        <v>258.10000000000002</v>
      </c>
      <c r="E19" s="8">
        <v>243.8</v>
      </c>
      <c r="F19" s="8">
        <v>219.4</v>
      </c>
      <c r="G19" s="8">
        <v>516.20000000000005</v>
      </c>
      <c r="H19" s="8">
        <v>487.6</v>
      </c>
      <c r="I19" s="8">
        <v>438.8</v>
      </c>
    </row>
    <row r="20" spans="1:9" x14ac:dyDescent="0.35">
      <c r="A20" s="8">
        <v>-54</v>
      </c>
      <c r="B20" s="8">
        <v>-55</v>
      </c>
      <c r="C20" s="8">
        <v>11</v>
      </c>
      <c r="D20" s="8">
        <v>286.8</v>
      </c>
      <c r="E20" s="8">
        <v>270.8</v>
      </c>
      <c r="F20" s="8">
        <v>243.8</v>
      </c>
      <c r="G20" s="8">
        <v>573.6</v>
      </c>
      <c r="H20" s="8">
        <v>541.6</v>
      </c>
      <c r="I20" s="8">
        <v>487.6</v>
      </c>
    </row>
    <row r="21" spans="1:9" x14ac:dyDescent="0.35">
      <c r="A21" s="8">
        <v>-49.5</v>
      </c>
      <c r="B21" s="8">
        <v>-50.5</v>
      </c>
      <c r="C21" s="8">
        <v>12</v>
      </c>
      <c r="D21" s="8">
        <v>309.7</v>
      </c>
      <c r="E21" s="8">
        <v>292.5</v>
      </c>
      <c r="F21" s="8">
        <v>263.3</v>
      </c>
      <c r="G21" s="8">
        <v>619.4</v>
      </c>
      <c r="H21" s="8">
        <v>585</v>
      </c>
      <c r="I21" s="8">
        <v>526.6</v>
      </c>
    </row>
    <row r="22" spans="1:9" x14ac:dyDescent="0.35">
      <c r="A22" s="8">
        <v>-46.5</v>
      </c>
      <c r="B22" s="8">
        <v>-47.5</v>
      </c>
      <c r="C22" s="8">
        <v>13</v>
      </c>
      <c r="D22" s="8">
        <v>344.1</v>
      </c>
      <c r="E22" s="8">
        <v>325</v>
      </c>
      <c r="F22" s="8">
        <v>292.5</v>
      </c>
      <c r="G22" s="8">
        <v>688.2</v>
      </c>
      <c r="H22" s="8">
        <v>650</v>
      </c>
      <c r="I22" s="8">
        <v>585</v>
      </c>
    </row>
  </sheetData>
  <mergeCells count="2">
    <mergeCell ref="D5:F5"/>
    <mergeCell ref="G5:I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3"/>
  <sheetViews>
    <sheetView workbookViewId="0">
      <pane ySplit="6" topLeftCell="A7" activePane="bottomLeft" state="frozen"/>
      <selection pane="bottomLeft" activeCell="C5" sqref="C5:H5"/>
    </sheetView>
  </sheetViews>
  <sheetFormatPr defaultRowHeight="14.5" x14ac:dyDescent="0.35"/>
  <cols>
    <col min="1" max="1" width="10" customWidth="1"/>
    <col min="2" max="8" width="16" customWidth="1"/>
  </cols>
  <sheetData>
    <row r="1" spans="1:8" ht="17" x14ac:dyDescent="0.4">
      <c r="A1" s="3" t="s">
        <v>89</v>
      </c>
    </row>
    <row r="2" spans="1:8" x14ac:dyDescent="0.35">
      <c r="A2" s="2" t="s">
        <v>55</v>
      </c>
      <c r="B2" t="s">
        <v>39</v>
      </c>
    </row>
    <row r="4" spans="1:8" x14ac:dyDescent="0.35">
      <c r="A4" s="7" t="s">
        <v>56</v>
      </c>
      <c r="B4" s="7" t="s">
        <v>75</v>
      </c>
      <c r="C4" s="7" t="s">
        <v>57</v>
      </c>
    </row>
    <row r="5" spans="1:8" x14ac:dyDescent="0.35">
      <c r="A5" s="7"/>
      <c r="B5" s="7"/>
      <c r="C5" s="10" t="s">
        <v>78</v>
      </c>
      <c r="D5" s="11"/>
      <c r="E5" s="12"/>
      <c r="F5" s="10" t="s">
        <v>79</v>
      </c>
      <c r="G5" s="11"/>
      <c r="H5" s="11"/>
    </row>
    <row r="6" spans="1:8" x14ac:dyDescent="0.35">
      <c r="A6" s="7"/>
      <c r="B6" s="7"/>
      <c r="C6" s="7" t="s">
        <v>80</v>
      </c>
      <c r="D6" s="7" t="s">
        <v>81</v>
      </c>
      <c r="E6" s="7" t="s">
        <v>82</v>
      </c>
      <c r="F6" s="7" t="s">
        <v>80</v>
      </c>
      <c r="G6" s="7" t="s">
        <v>81</v>
      </c>
      <c r="H6" s="7" t="s">
        <v>82</v>
      </c>
    </row>
    <row r="7" spans="1:8" x14ac:dyDescent="0.35">
      <c r="A7" s="8">
        <v>-95</v>
      </c>
      <c r="B7" s="8" t="s">
        <v>67</v>
      </c>
      <c r="C7" s="8">
        <v>8.6</v>
      </c>
      <c r="D7" s="8">
        <v>8.1</v>
      </c>
      <c r="E7" s="8">
        <v>7.3</v>
      </c>
      <c r="F7" s="8" t="s">
        <v>83</v>
      </c>
      <c r="G7" s="8" t="s">
        <v>83</v>
      </c>
      <c r="H7" s="8" t="s">
        <v>83</v>
      </c>
    </row>
    <row r="8" spans="1:8" x14ac:dyDescent="0.35">
      <c r="A8" s="8">
        <v>-93</v>
      </c>
      <c r="B8" s="8" t="s">
        <v>69</v>
      </c>
      <c r="C8" s="8">
        <v>8.6</v>
      </c>
      <c r="D8" s="8">
        <v>8.1</v>
      </c>
      <c r="E8" s="8">
        <v>7.3</v>
      </c>
      <c r="F8" s="8">
        <v>17.2</v>
      </c>
      <c r="G8" s="8">
        <v>16.2</v>
      </c>
      <c r="H8" s="8">
        <v>14.6</v>
      </c>
    </row>
    <row r="9" spans="1:8" x14ac:dyDescent="0.35">
      <c r="A9" s="8">
        <v>-90</v>
      </c>
      <c r="B9" s="8" t="s">
        <v>71</v>
      </c>
      <c r="C9" s="8">
        <v>17.2</v>
      </c>
      <c r="D9" s="8">
        <v>16.3</v>
      </c>
      <c r="E9" s="8">
        <v>14.6</v>
      </c>
      <c r="F9" s="8">
        <v>34.4</v>
      </c>
      <c r="G9" s="8">
        <v>32.6</v>
      </c>
      <c r="H9" s="8">
        <v>29.2</v>
      </c>
    </row>
    <row r="10" spans="1:8" x14ac:dyDescent="0.35">
      <c r="A10" s="8">
        <v>-87</v>
      </c>
      <c r="B10" s="8">
        <v>0</v>
      </c>
      <c r="C10" s="8">
        <v>36</v>
      </c>
      <c r="D10" s="8">
        <v>34</v>
      </c>
      <c r="E10" s="8">
        <v>30.6</v>
      </c>
      <c r="F10" s="8">
        <v>72</v>
      </c>
      <c r="G10" s="8">
        <v>68</v>
      </c>
      <c r="H10" s="8">
        <v>61.2</v>
      </c>
    </row>
    <row r="11" spans="1:8" x14ac:dyDescent="0.35">
      <c r="A11" s="8">
        <v>-83.5</v>
      </c>
      <c r="B11" s="8">
        <v>1</v>
      </c>
      <c r="C11" s="8">
        <v>72.099999999999994</v>
      </c>
      <c r="D11" s="8">
        <v>68.099999999999994</v>
      </c>
      <c r="E11" s="8">
        <v>61.3</v>
      </c>
      <c r="F11" s="8">
        <v>144.19999999999999</v>
      </c>
      <c r="G11" s="8">
        <v>136.19999999999999</v>
      </c>
      <c r="H11" s="8">
        <v>122.6</v>
      </c>
    </row>
    <row r="12" spans="1:8" x14ac:dyDescent="0.35">
      <c r="A12" s="8">
        <v>-80.5</v>
      </c>
      <c r="B12" s="8">
        <v>2</v>
      </c>
      <c r="C12" s="8">
        <v>108.1</v>
      </c>
      <c r="D12" s="8">
        <v>102.1</v>
      </c>
      <c r="E12" s="8">
        <v>91.9</v>
      </c>
      <c r="F12" s="8">
        <v>216.2</v>
      </c>
      <c r="G12" s="8">
        <v>204.2</v>
      </c>
      <c r="H12" s="8">
        <v>183.8</v>
      </c>
    </row>
    <row r="13" spans="1:8" x14ac:dyDescent="0.35">
      <c r="A13" s="8">
        <v>-78.5</v>
      </c>
      <c r="B13" s="8">
        <v>3</v>
      </c>
      <c r="C13" s="8">
        <v>144.1</v>
      </c>
      <c r="D13" s="8">
        <v>136.1</v>
      </c>
      <c r="E13" s="8">
        <v>122.5</v>
      </c>
      <c r="F13" s="8">
        <v>288.2</v>
      </c>
      <c r="G13" s="8">
        <v>272.2</v>
      </c>
      <c r="H13" s="8">
        <v>245</v>
      </c>
    </row>
    <row r="14" spans="1:8" x14ac:dyDescent="0.35">
      <c r="A14" s="8">
        <v>-74</v>
      </c>
      <c r="B14" s="8">
        <v>4</v>
      </c>
      <c r="C14" s="8">
        <v>216.2</v>
      </c>
      <c r="D14" s="8">
        <v>204.2</v>
      </c>
      <c r="E14" s="8">
        <v>183.8</v>
      </c>
      <c r="F14" s="8">
        <v>432.4</v>
      </c>
      <c r="G14" s="8">
        <v>408.4</v>
      </c>
      <c r="H14" s="8">
        <v>367.6</v>
      </c>
    </row>
    <row r="15" spans="1:8" x14ac:dyDescent="0.35">
      <c r="A15" s="8">
        <v>-69.5</v>
      </c>
      <c r="B15" s="8">
        <v>5</v>
      </c>
      <c r="C15" s="8">
        <v>288.2</v>
      </c>
      <c r="D15" s="8">
        <v>272.2</v>
      </c>
      <c r="E15" s="8">
        <v>245</v>
      </c>
      <c r="F15" s="8">
        <v>576.4</v>
      </c>
      <c r="G15" s="8">
        <v>544.4</v>
      </c>
      <c r="H15" s="8">
        <v>490</v>
      </c>
    </row>
    <row r="16" spans="1:8" x14ac:dyDescent="0.35">
      <c r="A16" s="8">
        <v>-67</v>
      </c>
      <c r="B16" s="8">
        <v>6</v>
      </c>
      <c r="C16" s="8">
        <v>324.3</v>
      </c>
      <c r="D16" s="8">
        <v>306.3</v>
      </c>
      <c r="E16" s="8">
        <v>275.60000000000002</v>
      </c>
      <c r="F16" s="8">
        <v>648.6</v>
      </c>
      <c r="G16" s="8">
        <v>612.6</v>
      </c>
      <c r="H16" s="8">
        <v>551.20000000000005</v>
      </c>
    </row>
    <row r="17" spans="1:8" x14ac:dyDescent="0.35">
      <c r="A17" s="8">
        <v>-66</v>
      </c>
      <c r="B17" s="8">
        <v>7</v>
      </c>
      <c r="C17" s="8">
        <v>360.3</v>
      </c>
      <c r="D17" s="8">
        <v>340.3</v>
      </c>
      <c r="E17" s="8">
        <v>306.3</v>
      </c>
      <c r="F17" s="8">
        <v>720.6</v>
      </c>
      <c r="G17" s="8">
        <v>680.6</v>
      </c>
      <c r="H17" s="8">
        <v>612.6</v>
      </c>
    </row>
    <row r="18" spans="1:8" x14ac:dyDescent="0.35">
      <c r="A18" s="8">
        <v>-61.5</v>
      </c>
      <c r="B18" s="8">
        <v>8</v>
      </c>
      <c r="C18" s="8">
        <v>432.4</v>
      </c>
      <c r="D18" s="8">
        <v>408.3</v>
      </c>
      <c r="E18" s="8">
        <v>367.5</v>
      </c>
      <c r="F18" s="8">
        <v>864.8</v>
      </c>
      <c r="G18" s="8">
        <v>816.6</v>
      </c>
      <c r="H18" s="8">
        <v>735</v>
      </c>
    </row>
    <row r="19" spans="1:8" x14ac:dyDescent="0.35">
      <c r="A19" s="8">
        <v>-59.5</v>
      </c>
      <c r="B19" s="8">
        <v>9</v>
      </c>
      <c r="C19" s="8">
        <v>480.4</v>
      </c>
      <c r="D19" s="8">
        <v>453.7</v>
      </c>
      <c r="E19" s="8">
        <v>408.3</v>
      </c>
      <c r="F19" s="8">
        <v>960.8</v>
      </c>
      <c r="G19" s="8">
        <v>907.4</v>
      </c>
      <c r="H19" s="8">
        <v>816.6</v>
      </c>
    </row>
    <row r="20" spans="1:8" x14ac:dyDescent="0.35">
      <c r="A20" s="8">
        <v>-55.5</v>
      </c>
      <c r="B20" s="8">
        <v>10</v>
      </c>
      <c r="C20" s="8">
        <v>540.4</v>
      </c>
      <c r="D20" s="8">
        <v>510.4</v>
      </c>
      <c r="E20" s="8">
        <v>459.4</v>
      </c>
      <c r="F20" s="8">
        <v>1080.8</v>
      </c>
      <c r="G20" s="8">
        <v>1020.8</v>
      </c>
      <c r="H20" s="8">
        <v>918.8</v>
      </c>
    </row>
    <row r="21" spans="1:8" x14ac:dyDescent="0.35">
      <c r="A21" s="8">
        <v>-52.5</v>
      </c>
      <c r="B21" s="8">
        <v>11</v>
      </c>
      <c r="C21" s="8">
        <v>600.4</v>
      </c>
      <c r="D21" s="8">
        <v>567.1</v>
      </c>
      <c r="E21" s="8">
        <v>510.4</v>
      </c>
      <c r="F21" s="8">
        <v>1200.8</v>
      </c>
      <c r="G21" s="8">
        <v>1134.2</v>
      </c>
      <c r="H21" s="8">
        <v>1020.8</v>
      </c>
    </row>
    <row r="22" spans="1:8" x14ac:dyDescent="0.35">
      <c r="A22" s="8">
        <v>-47.5</v>
      </c>
      <c r="B22" s="8">
        <v>12</v>
      </c>
      <c r="C22" s="8">
        <v>648.5</v>
      </c>
      <c r="D22" s="8">
        <v>612.5</v>
      </c>
      <c r="E22" s="8">
        <v>551.29999999999995</v>
      </c>
      <c r="F22" s="8">
        <v>1297</v>
      </c>
      <c r="G22" s="8">
        <v>1225</v>
      </c>
      <c r="H22" s="8">
        <v>1102.5999999999999</v>
      </c>
    </row>
    <row r="23" spans="1:8" x14ac:dyDescent="0.35">
      <c r="A23" s="8">
        <v>-44.5</v>
      </c>
      <c r="B23" s="8">
        <v>13</v>
      </c>
      <c r="C23" s="8">
        <v>720.6</v>
      </c>
      <c r="D23" s="8">
        <v>680.6</v>
      </c>
      <c r="E23" s="8">
        <v>612.5</v>
      </c>
      <c r="F23" s="8">
        <v>1441.2</v>
      </c>
      <c r="G23" s="8">
        <v>1361.2</v>
      </c>
      <c r="H23" s="8">
        <v>1225</v>
      </c>
    </row>
  </sheetData>
  <mergeCells count="2">
    <mergeCell ref="C5:E5"/>
    <mergeCell ref="F5:H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4"/>
  <sheetViews>
    <sheetView workbookViewId="0">
      <pane ySplit="6" topLeftCell="A7" activePane="bottomLeft" state="frozen"/>
      <selection pane="bottomLeft" activeCell="C5" sqref="C5:H5"/>
    </sheetView>
  </sheetViews>
  <sheetFormatPr defaultRowHeight="14.5" x14ac:dyDescent="0.35"/>
  <cols>
    <col min="1" max="1" width="10" customWidth="1"/>
    <col min="2" max="8" width="16" customWidth="1"/>
  </cols>
  <sheetData>
    <row r="1" spans="1:8" ht="17" x14ac:dyDescent="0.4">
      <c r="A1" s="3" t="s">
        <v>90</v>
      </c>
    </row>
    <row r="2" spans="1:8" x14ac:dyDescent="0.35">
      <c r="A2" s="2" t="s">
        <v>55</v>
      </c>
      <c r="B2" t="s">
        <v>41</v>
      </c>
    </row>
    <row r="4" spans="1:8" x14ac:dyDescent="0.35">
      <c r="A4" s="7" t="s">
        <v>56</v>
      </c>
      <c r="B4" s="7" t="s">
        <v>75</v>
      </c>
      <c r="C4" s="7" t="s">
        <v>57</v>
      </c>
    </row>
    <row r="5" spans="1:8" x14ac:dyDescent="0.35">
      <c r="A5" s="7"/>
      <c r="B5" s="7"/>
      <c r="C5" s="10" t="s">
        <v>78</v>
      </c>
      <c r="D5" s="11"/>
      <c r="E5" s="12"/>
      <c r="F5" s="10" t="s">
        <v>79</v>
      </c>
      <c r="G5" s="11"/>
      <c r="H5" s="11"/>
    </row>
    <row r="6" spans="1:8" x14ac:dyDescent="0.35">
      <c r="A6" s="7"/>
      <c r="B6" s="7"/>
      <c r="C6" s="7" t="s">
        <v>80</v>
      </c>
      <c r="D6" s="7" t="s">
        <v>81</v>
      </c>
      <c r="E6" s="7" t="s">
        <v>82</v>
      </c>
      <c r="F6" s="7" t="s">
        <v>80</v>
      </c>
      <c r="G6" s="7" t="s">
        <v>81</v>
      </c>
      <c r="H6" s="7" t="s">
        <v>82</v>
      </c>
    </row>
    <row r="7" spans="1:8" x14ac:dyDescent="0.35">
      <c r="A7" s="8">
        <v>-95</v>
      </c>
      <c r="B7" s="8" t="s">
        <v>67</v>
      </c>
      <c r="C7" s="8">
        <v>8.6</v>
      </c>
      <c r="D7" s="8">
        <v>8.1</v>
      </c>
      <c r="E7" s="8">
        <v>7.3</v>
      </c>
      <c r="F7" s="8" t="s">
        <v>83</v>
      </c>
      <c r="G7" s="8" t="s">
        <v>83</v>
      </c>
      <c r="H7" s="8" t="s">
        <v>83</v>
      </c>
    </row>
    <row r="8" spans="1:8" x14ac:dyDescent="0.35">
      <c r="A8" s="8">
        <v>-93</v>
      </c>
      <c r="B8" s="8" t="s">
        <v>69</v>
      </c>
      <c r="C8" s="8">
        <v>8.6</v>
      </c>
      <c r="D8" s="8">
        <v>8.1</v>
      </c>
      <c r="E8" s="8">
        <v>7.3</v>
      </c>
      <c r="F8" s="8">
        <v>17.2</v>
      </c>
      <c r="G8" s="8">
        <v>16.2</v>
      </c>
      <c r="H8" s="8">
        <v>14.6</v>
      </c>
    </row>
    <row r="9" spans="1:8" x14ac:dyDescent="0.35">
      <c r="A9" s="8">
        <v>-90</v>
      </c>
      <c r="B9" s="8" t="s">
        <v>71</v>
      </c>
      <c r="C9" s="8">
        <v>17.2</v>
      </c>
      <c r="D9" s="8">
        <v>16.3</v>
      </c>
      <c r="E9" s="8">
        <v>14.6</v>
      </c>
      <c r="F9" s="8">
        <v>34.4</v>
      </c>
      <c r="G9" s="8">
        <v>32.6</v>
      </c>
      <c r="H9" s="8">
        <v>29.2</v>
      </c>
    </row>
    <row r="10" spans="1:8" x14ac:dyDescent="0.35">
      <c r="A10" s="8">
        <v>-87</v>
      </c>
      <c r="B10" s="8" t="s">
        <v>73</v>
      </c>
      <c r="C10" s="8">
        <v>36</v>
      </c>
      <c r="D10" s="8">
        <v>34</v>
      </c>
      <c r="E10" s="8">
        <v>30.6</v>
      </c>
      <c r="F10" s="8">
        <v>72</v>
      </c>
      <c r="G10" s="8">
        <v>68</v>
      </c>
      <c r="H10" s="8">
        <v>61.2</v>
      </c>
    </row>
    <row r="11" spans="1:8" x14ac:dyDescent="0.35">
      <c r="A11" s="8">
        <v>-84</v>
      </c>
      <c r="B11" s="8">
        <v>0</v>
      </c>
      <c r="C11" s="8">
        <v>72.099999999999994</v>
      </c>
      <c r="D11" s="8">
        <v>68.099999999999994</v>
      </c>
      <c r="E11" s="8">
        <v>61.3</v>
      </c>
      <c r="F11" s="8">
        <v>144.19999999999999</v>
      </c>
      <c r="G11" s="8">
        <v>136.19999999999999</v>
      </c>
      <c r="H11" s="8">
        <v>122.6</v>
      </c>
    </row>
    <row r="12" spans="1:8" x14ac:dyDescent="0.35">
      <c r="A12" s="8">
        <v>-81</v>
      </c>
      <c r="B12" s="8">
        <v>1</v>
      </c>
      <c r="C12" s="8">
        <v>144.1</v>
      </c>
      <c r="D12" s="8">
        <v>136.1</v>
      </c>
      <c r="E12" s="8">
        <v>122.5</v>
      </c>
      <c r="F12" s="8">
        <v>288.2</v>
      </c>
      <c r="G12" s="8">
        <v>272.2</v>
      </c>
      <c r="H12" s="8">
        <v>245</v>
      </c>
    </row>
    <row r="13" spans="1:8" x14ac:dyDescent="0.35">
      <c r="A13" s="8">
        <v>-78</v>
      </c>
      <c r="B13" s="8">
        <v>2</v>
      </c>
      <c r="C13" s="8">
        <v>216.2</v>
      </c>
      <c r="D13" s="8">
        <v>204.2</v>
      </c>
      <c r="E13" s="8">
        <v>183.5</v>
      </c>
      <c r="F13" s="8">
        <v>432.4</v>
      </c>
      <c r="G13" s="8">
        <v>408.4</v>
      </c>
      <c r="H13" s="8">
        <v>367</v>
      </c>
    </row>
    <row r="14" spans="1:8" x14ac:dyDescent="0.35">
      <c r="A14" s="8">
        <v>-76</v>
      </c>
      <c r="B14" s="8">
        <v>3</v>
      </c>
      <c r="C14" s="8">
        <v>288.2</v>
      </c>
      <c r="D14" s="8">
        <v>272.2</v>
      </c>
      <c r="E14" s="8">
        <v>245</v>
      </c>
      <c r="F14" s="8">
        <v>576.4</v>
      </c>
      <c r="G14" s="8">
        <v>544.4</v>
      </c>
      <c r="H14" s="8">
        <v>490</v>
      </c>
    </row>
    <row r="15" spans="1:8" x14ac:dyDescent="0.35">
      <c r="A15" s="8">
        <v>-71.5</v>
      </c>
      <c r="B15" s="8">
        <v>4</v>
      </c>
      <c r="C15" s="8">
        <v>432.4</v>
      </c>
      <c r="D15" s="8">
        <v>408.3</v>
      </c>
      <c r="E15" s="8">
        <v>367.5</v>
      </c>
      <c r="F15" s="8">
        <v>864.8</v>
      </c>
      <c r="G15" s="8">
        <v>816.6</v>
      </c>
      <c r="H15" s="8">
        <v>735</v>
      </c>
    </row>
    <row r="16" spans="1:8" x14ac:dyDescent="0.35">
      <c r="A16" s="8">
        <v>-67.5</v>
      </c>
      <c r="B16" s="8">
        <v>5</v>
      </c>
      <c r="C16" s="8">
        <v>576.5</v>
      </c>
      <c r="D16" s="8">
        <v>544.4</v>
      </c>
      <c r="E16" s="8">
        <v>490</v>
      </c>
      <c r="F16" s="8">
        <v>1153</v>
      </c>
      <c r="G16" s="8">
        <v>1088.8</v>
      </c>
      <c r="H16" s="8">
        <v>980</v>
      </c>
    </row>
    <row r="17" spans="1:8" x14ac:dyDescent="0.35">
      <c r="A17" s="8">
        <v>-65</v>
      </c>
      <c r="B17" s="8">
        <v>6</v>
      </c>
      <c r="C17" s="8">
        <v>648.5</v>
      </c>
      <c r="D17" s="8">
        <v>612.5</v>
      </c>
      <c r="E17" s="8">
        <v>551.29999999999995</v>
      </c>
      <c r="F17" s="8">
        <v>1297</v>
      </c>
      <c r="G17" s="8">
        <v>1225</v>
      </c>
      <c r="H17" s="8">
        <v>1102.5999999999999</v>
      </c>
    </row>
    <row r="18" spans="1:8" x14ac:dyDescent="0.35">
      <c r="A18" s="8">
        <v>-63.5</v>
      </c>
      <c r="B18" s="8">
        <v>7</v>
      </c>
      <c r="C18" s="8">
        <v>720.6</v>
      </c>
      <c r="D18" s="8">
        <v>680.6</v>
      </c>
      <c r="E18" s="8">
        <v>612.5</v>
      </c>
      <c r="F18" s="8">
        <v>1441.2</v>
      </c>
      <c r="G18" s="8">
        <v>1361.2</v>
      </c>
      <c r="H18" s="8">
        <v>1225</v>
      </c>
    </row>
    <row r="19" spans="1:8" x14ac:dyDescent="0.35">
      <c r="A19" s="8">
        <v>-59</v>
      </c>
      <c r="B19" s="8">
        <v>8</v>
      </c>
      <c r="C19" s="8">
        <v>864.7</v>
      </c>
      <c r="D19" s="8">
        <v>816.7</v>
      </c>
      <c r="E19" s="8">
        <v>735</v>
      </c>
      <c r="F19" s="8">
        <v>1729.4</v>
      </c>
      <c r="G19" s="8">
        <v>1633.4</v>
      </c>
      <c r="H19" s="8">
        <v>1470</v>
      </c>
    </row>
    <row r="20" spans="1:8" x14ac:dyDescent="0.35">
      <c r="A20" s="8">
        <v>-57</v>
      </c>
      <c r="B20" s="8">
        <v>9</v>
      </c>
      <c r="C20" s="8">
        <v>960.7</v>
      </c>
      <c r="D20" s="8">
        <v>907.4</v>
      </c>
      <c r="E20" s="8">
        <v>816.6</v>
      </c>
      <c r="F20" s="8">
        <v>1921.4</v>
      </c>
      <c r="G20" s="8">
        <v>1814.8</v>
      </c>
      <c r="H20" s="8">
        <v>1633.2</v>
      </c>
    </row>
    <row r="21" spans="1:8" x14ac:dyDescent="0.35">
      <c r="A21" s="8">
        <v>-52.5</v>
      </c>
      <c r="B21" s="8">
        <v>10</v>
      </c>
      <c r="C21" s="8">
        <v>1080.9000000000001</v>
      </c>
      <c r="D21" s="8">
        <v>1020.8</v>
      </c>
      <c r="E21" s="8">
        <v>918.8</v>
      </c>
      <c r="F21" s="8">
        <v>2161.8000000000002</v>
      </c>
      <c r="G21" s="8">
        <v>2041.6</v>
      </c>
      <c r="H21" s="8">
        <v>1837.6</v>
      </c>
    </row>
    <row r="22" spans="1:8" x14ac:dyDescent="0.35">
      <c r="A22" s="8">
        <v>-50.5</v>
      </c>
      <c r="B22" s="8">
        <v>11</v>
      </c>
      <c r="C22" s="8">
        <v>1201</v>
      </c>
      <c r="D22" s="8">
        <v>1134.2</v>
      </c>
      <c r="E22" s="8">
        <v>1020.8</v>
      </c>
      <c r="F22" s="8">
        <v>2402</v>
      </c>
      <c r="G22" s="8">
        <v>2268.4</v>
      </c>
      <c r="H22" s="8">
        <v>2041.6</v>
      </c>
    </row>
    <row r="23" spans="1:8" x14ac:dyDescent="0.35">
      <c r="A23" s="8">
        <v>-46</v>
      </c>
      <c r="B23" s="8">
        <v>12</v>
      </c>
      <c r="C23" s="8">
        <v>1297.0999999999999</v>
      </c>
      <c r="D23" s="8">
        <v>1225</v>
      </c>
      <c r="E23" s="8">
        <v>1102.5</v>
      </c>
      <c r="F23" s="8">
        <v>2594.1999999999998</v>
      </c>
      <c r="G23" s="8">
        <v>2450</v>
      </c>
      <c r="H23" s="8">
        <v>2205</v>
      </c>
    </row>
    <row r="24" spans="1:8" x14ac:dyDescent="0.35">
      <c r="A24" s="8">
        <v>-42</v>
      </c>
      <c r="B24" s="8">
        <v>13</v>
      </c>
      <c r="C24" s="8">
        <v>1441.2</v>
      </c>
      <c r="D24" s="8">
        <v>1361.1</v>
      </c>
      <c r="E24" s="8">
        <v>1225</v>
      </c>
      <c r="F24" s="8">
        <v>2882.4</v>
      </c>
      <c r="G24" s="8">
        <v>2722.2</v>
      </c>
      <c r="H24" s="8">
        <v>2450</v>
      </c>
    </row>
  </sheetData>
  <mergeCells count="2">
    <mergeCell ref="C5:E5"/>
    <mergeCell ref="F5:H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33"/>
  <sheetViews>
    <sheetView tabSelected="1" zoomScale="90" zoomScaleNormal="90" workbookViewId="0">
      <pane ySplit="6" topLeftCell="A7" activePane="bottomLeft" state="frozen"/>
      <selection pane="bottomLeft" activeCell="K31" sqref="K31"/>
    </sheetView>
  </sheetViews>
  <sheetFormatPr defaultRowHeight="14.5" x14ac:dyDescent="0.35"/>
  <cols>
    <col min="1" max="1" width="10" customWidth="1"/>
    <col min="2" max="2" width="18.36328125" bestFit="1" customWidth="1"/>
    <col min="3" max="8" width="16" customWidth="1"/>
  </cols>
  <sheetData>
    <row r="1" spans="1:8" ht="17" x14ac:dyDescent="0.4">
      <c r="A1" s="3" t="s">
        <v>91</v>
      </c>
    </row>
    <row r="2" spans="1:8" x14ac:dyDescent="0.35">
      <c r="A2" s="2" t="s">
        <v>55</v>
      </c>
      <c r="B2" t="s">
        <v>43</v>
      </c>
    </row>
    <row r="4" spans="1:8" x14ac:dyDescent="0.35">
      <c r="A4" s="7" t="s">
        <v>56</v>
      </c>
      <c r="B4" s="7" t="s">
        <v>75</v>
      </c>
      <c r="C4" s="7" t="s">
        <v>57</v>
      </c>
    </row>
    <row r="5" spans="1:8" x14ac:dyDescent="0.35">
      <c r="A5" s="7" t="s">
        <v>98</v>
      </c>
      <c r="B5" s="7"/>
      <c r="C5" s="10" t="s">
        <v>78</v>
      </c>
      <c r="D5" s="11"/>
      <c r="E5" s="12"/>
      <c r="F5" s="10" t="s">
        <v>79</v>
      </c>
      <c r="G5" s="11"/>
      <c r="H5" s="11"/>
    </row>
    <row r="6" spans="1:8" x14ac:dyDescent="0.35">
      <c r="A6" s="7"/>
      <c r="B6" s="7"/>
      <c r="C6" s="7" t="s">
        <v>80</v>
      </c>
      <c r="D6" s="7" t="s">
        <v>81</v>
      </c>
      <c r="E6" s="7" t="s">
        <v>82</v>
      </c>
      <c r="F6" s="7" t="s">
        <v>80</v>
      </c>
      <c r="G6" s="7" t="s">
        <v>81</v>
      </c>
      <c r="H6" s="7" t="s">
        <v>82</v>
      </c>
    </row>
    <row r="7" spans="1:8" x14ac:dyDescent="0.35">
      <c r="A7" s="8">
        <v>-95</v>
      </c>
      <c r="B7" s="8" t="s">
        <v>67</v>
      </c>
      <c r="C7" s="8">
        <v>8.6</v>
      </c>
      <c r="D7" s="8">
        <v>8.1</v>
      </c>
      <c r="E7" s="8">
        <v>7.3</v>
      </c>
      <c r="F7" s="8" t="s">
        <v>83</v>
      </c>
      <c r="G7" s="8" t="s">
        <v>83</v>
      </c>
      <c r="H7" s="8" t="s">
        <v>83</v>
      </c>
    </row>
    <row r="8" spans="1:8" x14ac:dyDescent="0.35">
      <c r="A8" s="8">
        <v>-93</v>
      </c>
      <c r="B8" s="8" t="s">
        <v>69</v>
      </c>
      <c r="C8" s="8">
        <v>8.6</v>
      </c>
      <c r="D8" s="8">
        <v>8.1</v>
      </c>
      <c r="E8" s="8">
        <v>7.3</v>
      </c>
      <c r="F8" s="8">
        <v>17.2</v>
      </c>
      <c r="G8" s="8">
        <v>16.2</v>
      </c>
      <c r="H8" s="8">
        <v>14.6</v>
      </c>
    </row>
    <row r="9" spans="1:8" x14ac:dyDescent="0.35">
      <c r="A9" s="8">
        <v>-90</v>
      </c>
      <c r="B9" s="8" t="s">
        <v>71</v>
      </c>
      <c r="C9" s="8">
        <v>17.2</v>
      </c>
      <c r="D9" s="8">
        <v>16.3</v>
      </c>
      <c r="E9" s="8">
        <v>14.6</v>
      </c>
      <c r="F9" s="8">
        <v>34.4</v>
      </c>
      <c r="G9" s="8">
        <v>32.6</v>
      </c>
      <c r="H9" s="8">
        <v>29.2</v>
      </c>
    </row>
    <row r="10" spans="1:8" x14ac:dyDescent="0.35">
      <c r="A10" s="8">
        <v>-87</v>
      </c>
      <c r="B10" s="8" t="s">
        <v>73</v>
      </c>
      <c r="C10" s="8">
        <v>36</v>
      </c>
      <c r="D10" s="8">
        <v>34</v>
      </c>
      <c r="E10" s="8">
        <v>30.6</v>
      </c>
      <c r="F10" s="8">
        <v>72</v>
      </c>
      <c r="G10" s="8">
        <v>68</v>
      </c>
      <c r="H10" s="8">
        <v>61.2</v>
      </c>
    </row>
    <row r="11" spans="1:8" x14ac:dyDescent="0.35">
      <c r="A11" s="8">
        <v>-84</v>
      </c>
      <c r="B11" s="8" t="s">
        <v>92</v>
      </c>
      <c r="C11" s="8">
        <v>72.099999999999994</v>
      </c>
      <c r="D11" s="8">
        <v>68.099999999999994</v>
      </c>
      <c r="E11" s="8">
        <v>61.3</v>
      </c>
      <c r="F11" s="8">
        <v>144.19999999999999</v>
      </c>
      <c r="G11" s="8">
        <v>136.19999999999999</v>
      </c>
      <c r="H11" s="8">
        <v>122.6</v>
      </c>
    </row>
    <row r="12" spans="1:8" x14ac:dyDescent="0.35">
      <c r="A12" s="8">
        <v>-81</v>
      </c>
      <c r="B12" s="8">
        <v>0</v>
      </c>
      <c r="C12" s="8">
        <v>144.1</v>
      </c>
      <c r="D12" s="8">
        <v>136.1</v>
      </c>
      <c r="E12" s="8">
        <v>122.5</v>
      </c>
      <c r="F12" s="8">
        <v>288.2</v>
      </c>
      <c r="G12" s="8">
        <v>272.2</v>
      </c>
      <c r="H12" s="8">
        <v>245</v>
      </c>
    </row>
    <row r="13" spans="1:8" x14ac:dyDescent="0.35">
      <c r="A13" s="8">
        <v>-78</v>
      </c>
      <c r="B13" s="8">
        <v>1</v>
      </c>
      <c r="C13" s="8">
        <v>288.2</v>
      </c>
      <c r="D13" s="8">
        <v>272.2</v>
      </c>
      <c r="E13" s="8">
        <v>245</v>
      </c>
      <c r="F13" s="8">
        <v>576.4</v>
      </c>
      <c r="G13" s="8">
        <v>544.4</v>
      </c>
      <c r="H13" s="8">
        <v>490</v>
      </c>
    </row>
    <row r="14" spans="1:8" x14ac:dyDescent="0.35">
      <c r="A14" s="8">
        <v>-75</v>
      </c>
      <c r="B14" s="8">
        <v>2</v>
      </c>
      <c r="C14" s="8">
        <v>432.4</v>
      </c>
      <c r="D14" s="8">
        <v>408.3</v>
      </c>
      <c r="E14" s="8">
        <v>367.5</v>
      </c>
      <c r="F14" s="8">
        <v>864.8</v>
      </c>
      <c r="G14" s="8">
        <v>816.6</v>
      </c>
      <c r="H14" s="8">
        <v>735</v>
      </c>
    </row>
    <row r="15" spans="1:8" x14ac:dyDescent="0.35">
      <c r="A15" s="8">
        <v>-72</v>
      </c>
      <c r="B15" s="8">
        <v>3</v>
      </c>
      <c r="C15" s="8">
        <v>576.5</v>
      </c>
      <c r="D15" s="8">
        <v>544.4</v>
      </c>
      <c r="E15" s="8">
        <v>490</v>
      </c>
      <c r="F15" s="8">
        <v>1153</v>
      </c>
      <c r="G15" s="8">
        <v>1088.8</v>
      </c>
      <c r="H15" s="8">
        <v>980</v>
      </c>
    </row>
    <row r="16" spans="1:8" x14ac:dyDescent="0.35">
      <c r="A16" s="8">
        <v>-69</v>
      </c>
      <c r="B16" s="8">
        <v>4</v>
      </c>
      <c r="C16" s="8">
        <v>864.7</v>
      </c>
      <c r="D16" s="8">
        <v>816.7</v>
      </c>
      <c r="E16" s="8">
        <v>735</v>
      </c>
      <c r="F16" s="8">
        <v>1729.4</v>
      </c>
      <c r="G16" s="8">
        <v>1633.4</v>
      </c>
      <c r="H16" s="8">
        <v>1470</v>
      </c>
    </row>
    <row r="17" spans="1:20" x14ac:dyDescent="0.35">
      <c r="A17" s="8">
        <v>-64.5</v>
      </c>
      <c r="B17" s="8">
        <v>5</v>
      </c>
      <c r="C17" s="8">
        <v>1152.9000000000001</v>
      </c>
      <c r="D17" s="8">
        <v>1088.9000000000001</v>
      </c>
      <c r="E17" s="8">
        <v>980</v>
      </c>
      <c r="F17" s="8">
        <v>2305.8000000000002</v>
      </c>
      <c r="G17" s="8">
        <v>2177.8000000000002</v>
      </c>
      <c r="H17" s="8">
        <v>1960</v>
      </c>
    </row>
    <row r="18" spans="1:20" x14ac:dyDescent="0.35">
      <c r="A18" s="8">
        <v>-62.5</v>
      </c>
      <c r="B18" s="8">
        <v>6</v>
      </c>
      <c r="C18" s="8">
        <v>1297.0999999999999</v>
      </c>
      <c r="D18" s="8">
        <v>1225</v>
      </c>
      <c r="E18" s="8">
        <v>1102.5</v>
      </c>
      <c r="F18" s="8">
        <v>2594.1999999999998</v>
      </c>
      <c r="G18" s="8">
        <v>2450</v>
      </c>
      <c r="H18" s="8">
        <v>2205</v>
      </c>
    </row>
    <row r="19" spans="1:20" x14ac:dyDescent="0.35">
      <c r="A19" s="8">
        <v>-61</v>
      </c>
      <c r="B19" s="8">
        <v>7</v>
      </c>
      <c r="C19" s="8">
        <v>1441.2</v>
      </c>
      <c r="D19" s="8">
        <v>1361.1</v>
      </c>
      <c r="E19" s="8">
        <v>1225</v>
      </c>
      <c r="F19" s="8">
        <v>2882.4</v>
      </c>
      <c r="G19" s="8">
        <v>2722.2</v>
      </c>
      <c r="H19" s="8">
        <v>2450</v>
      </c>
    </row>
    <row r="20" spans="1:20" x14ac:dyDescent="0.35">
      <c r="A20" s="8">
        <v>-57</v>
      </c>
      <c r="B20" s="8">
        <v>8</v>
      </c>
      <c r="C20" s="8">
        <v>1729.4</v>
      </c>
      <c r="D20" s="8">
        <v>1633.3</v>
      </c>
      <c r="E20" s="8">
        <v>1470</v>
      </c>
      <c r="F20" s="8">
        <v>3458.8</v>
      </c>
      <c r="G20" s="8">
        <v>3266.6</v>
      </c>
      <c r="H20" s="8">
        <v>2940</v>
      </c>
    </row>
    <row r="21" spans="1:20" x14ac:dyDescent="0.35">
      <c r="A21" s="8">
        <v>-55</v>
      </c>
      <c r="B21" s="8">
        <v>9</v>
      </c>
      <c r="C21" s="8">
        <v>1921.5</v>
      </c>
      <c r="D21" s="8">
        <v>1814.8</v>
      </c>
      <c r="E21" s="8">
        <v>1633.3</v>
      </c>
      <c r="F21" s="8">
        <v>3843</v>
      </c>
      <c r="G21" s="8">
        <v>3629.6</v>
      </c>
      <c r="H21" s="8">
        <v>3266.6</v>
      </c>
    </row>
    <row r="22" spans="1:20" x14ac:dyDescent="0.35">
      <c r="A22" s="8">
        <v>-50.5</v>
      </c>
      <c r="B22" s="8">
        <v>10</v>
      </c>
      <c r="C22" s="8">
        <v>2161.8000000000002</v>
      </c>
      <c r="D22" s="8">
        <v>2041.7</v>
      </c>
      <c r="E22" s="8">
        <v>1837.5</v>
      </c>
      <c r="F22" s="8">
        <v>4323.6000000000004</v>
      </c>
      <c r="G22" s="8">
        <v>4083.4</v>
      </c>
      <c r="H22" s="8">
        <v>3675</v>
      </c>
    </row>
    <row r="23" spans="1:20" x14ac:dyDescent="0.35">
      <c r="A23" s="8">
        <v>-47.5</v>
      </c>
      <c r="B23" s="8">
        <v>11</v>
      </c>
      <c r="C23" s="8">
        <v>2401.9</v>
      </c>
      <c r="D23" s="8">
        <v>2268.5</v>
      </c>
      <c r="E23" s="8">
        <v>2041.6</v>
      </c>
      <c r="F23" s="8">
        <v>4803.8</v>
      </c>
      <c r="G23" s="8">
        <v>4537</v>
      </c>
      <c r="H23" s="8">
        <v>4083.2</v>
      </c>
    </row>
    <row r="24" spans="1:20" x14ac:dyDescent="0.35">
      <c r="A24" s="8">
        <v>-43</v>
      </c>
      <c r="B24" s="8">
        <v>12</v>
      </c>
      <c r="C24" s="8">
        <v>2594.1</v>
      </c>
      <c r="D24" s="8">
        <v>2450</v>
      </c>
      <c r="E24" s="8">
        <v>2205</v>
      </c>
      <c r="F24" s="8">
        <v>5188.2</v>
      </c>
      <c r="G24" s="8">
        <v>4900</v>
      </c>
      <c r="H24" s="8">
        <v>4410</v>
      </c>
    </row>
    <row r="25" spans="1:20" x14ac:dyDescent="0.35">
      <c r="A25" s="8">
        <v>-40</v>
      </c>
      <c r="B25" s="8">
        <v>13</v>
      </c>
      <c r="C25" s="8">
        <v>2882.4</v>
      </c>
      <c r="D25" s="8">
        <v>2722.2</v>
      </c>
      <c r="E25" s="8">
        <v>2450</v>
      </c>
      <c r="F25" s="8">
        <v>5764.8</v>
      </c>
      <c r="G25" s="8">
        <v>5444.4</v>
      </c>
      <c r="H25" s="8">
        <v>4900</v>
      </c>
    </row>
    <row r="28" spans="1:20" x14ac:dyDescent="0.35">
      <c r="A28" s="14">
        <v>-40</v>
      </c>
      <c r="B28" t="s">
        <v>101</v>
      </c>
    </row>
    <row r="29" spans="1:20" x14ac:dyDescent="0.35">
      <c r="A29" s="15">
        <f>37</f>
        <v>37</v>
      </c>
      <c r="B29" t="s">
        <v>102</v>
      </c>
    </row>
    <row r="30" spans="1:20" x14ac:dyDescent="0.35">
      <c r="A30" s="16">
        <v>9</v>
      </c>
      <c r="B30" t="s">
        <v>103</v>
      </c>
    </row>
    <row r="31" spans="1:20" x14ac:dyDescent="0.35">
      <c r="A31" s="16">
        <v>320</v>
      </c>
      <c r="B31" t="s">
        <v>99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x14ac:dyDescent="0.35">
      <c r="A32" s="17">
        <f>10*LOG10(A31*1000000)-174+A30</f>
        <v>-79.948500216800937</v>
      </c>
      <c r="B32" t="s">
        <v>104</v>
      </c>
    </row>
    <row r="33" spans="1:2" x14ac:dyDescent="0.35">
      <c r="A33" s="17">
        <f>A32+A29</f>
        <v>-42.948500216800937</v>
      </c>
      <c r="B33" t="s">
        <v>100</v>
      </c>
    </row>
  </sheetData>
  <mergeCells count="2">
    <mergeCell ref="C5:E5"/>
    <mergeCell ref="F5:H5"/>
  </mergeCell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5"/>
  <sheetViews>
    <sheetView workbookViewId="0">
      <pane ySplit="6" topLeftCell="A7" activePane="bottomLeft" state="frozen"/>
      <selection pane="bottomLeft" activeCell="D5" sqref="D5:I5"/>
    </sheetView>
  </sheetViews>
  <sheetFormatPr defaultRowHeight="14.5" x14ac:dyDescent="0.35"/>
  <cols>
    <col min="1" max="1" width="10" customWidth="1"/>
    <col min="2" max="9" width="16" customWidth="1"/>
  </cols>
  <sheetData>
    <row r="1" spans="1:9" ht="17" x14ac:dyDescent="0.4">
      <c r="A1" s="3" t="s">
        <v>93</v>
      </c>
    </row>
    <row r="2" spans="1:9" x14ac:dyDescent="0.35">
      <c r="A2" s="2" t="s">
        <v>55</v>
      </c>
      <c r="B2" t="s">
        <v>45</v>
      </c>
    </row>
    <row r="4" spans="1:9" x14ac:dyDescent="0.35">
      <c r="A4" s="7" t="s">
        <v>56</v>
      </c>
      <c r="B4" s="7" t="s">
        <v>75</v>
      </c>
      <c r="C4" s="7" t="s">
        <v>57</v>
      </c>
    </row>
    <row r="5" spans="1:9" x14ac:dyDescent="0.35">
      <c r="A5" s="7" t="s">
        <v>76</v>
      </c>
      <c r="B5" s="7" t="s">
        <v>77</v>
      </c>
      <c r="C5" s="7"/>
      <c r="D5" s="10" t="s">
        <v>78</v>
      </c>
      <c r="E5" s="11"/>
      <c r="F5" s="12"/>
      <c r="G5" s="10" t="s">
        <v>79</v>
      </c>
      <c r="H5" s="11"/>
      <c r="I5" s="11"/>
    </row>
    <row r="6" spans="1:9" x14ac:dyDescent="0.35">
      <c r="A6" s="7"/>
      <c r="B6" s="7"/>
      <c r="C6" s="7"/>
      <c r="D6" s="7" t="s">
        <v>80</v>
      </c>
      <c r="E6" s="7" t="s">
        <v>81</v>
      </c>
      <c r="F6" s="7" t="s">
        <v>82</v>
      </c>
      <c r="G6" s="7" t="s">
        <v>80</v>
      </c>
      <c r="H6" s="7" t="s">
        <v>81</v>
      </c>
      <c r="I6" s="7" t="s">
        <v>82</v>
      </c>
    </row>
    <row r="7" spans="1:9" x14ac:dyDescent="0.35">
      <c r="A7" s="8">
        <v>-95</v>
      </c>
      <c r="B7" s="8">
        <v>-95</v>
      </c>
      <c r="C7" s="8" t="s">
        <v>67</v>
      </c>
      <c r="D7" s="8">
        <v>8.6</v>
      </c>
      <c r="E7" s="8">
        <v>8.1</v>
      </c>
      <c r="F7" s="8">
        <v>7.3</v>
      </c>
      <c r="G7" s="8" t="s">
        <v>83</v>
      </c>
      <c r="H7" s="8" t="s">
        <v>83</v>
      </c>
      <c r="I7" s="8" t="s">
        <v>83</v>
      </c>
    </row>
    <row r="8" spans="1:9" x14ac:dyDescent="0.35">
      <c r="A8" s="8">
        <v>-92</v>
      </c>
      <c r="B8" s="8">
        <v>-93</v>
      </c>
      <c r="C8" s="8">
        <v>0</v>
      </c>
      <c r="D8" s="8">
        <v>8.6</v>
      </c>
      <c r="E8" s="8">
        <v>8.1</v>
      </c>
      <c r="F8" s="8">
        <v>7.3</v>
      </c>
      <c r="G8" s="8">
        <v>17.2</v>
      </c>
      <c r="H8" s="8">
        <v>16.2</v>
      </c>
      <c r="I8" s="8">
        <v>14.6</v>
      </c>
    </row>
    <row r="9" spans="1:9" x14ac:dyDescent="0.35">
      <c r="A9" s="8">
        <v>-90</v>
      </c>
      <c r="B9" s="8">
        <v>-90</v>
      </c>
      <c r="C9" s="8">
        <v>1</v>
      </c>
      <c r="D9" s="8">
        <v>17.2</v>
      </c>
      <c r="E9" s="8">
        <v>16.3</v>
      </c>
      <c r="F9" s="8">
        <v>14.6</v>
      </c>
      <c r="G9" s="8">
        <v>34.4</v>
      </c>
      <c r="H9" s="8">
        <v>32.6</v>
      </c>
      <c r="I9" s="8">
        <v>29.2</v>
      </c>
    </row>
    <row r="10" spans="1:9" x14ac:dyDescent="0.35">
      <c r="A10" s="8">
        <v>-88</v>
      </c>
      <c r="B10" s="8">
        <v>-88</v>
      </c>
      <c r="C10" s="8">
        <v>17</v>
      </c>
      <c r="D10" s="8">
        <v>22.9</v>
      </c>
      <c r="E10" s="8">
        <v>21.7</v>
      </c>
      <c r="F10" s="8">
        <v>19.5</v>
      </c>
      <c r="G10" s="8">
        <v>45.8</v>
      </c>
      <c r="H10" s="8">
        <v>43.4</v>
      </c>
      <c r="I10" s="8">
        <v>39</v>
      </c>
    </row>
    <row r="11" spans="1:9" x14ac:dyDescent="0.35">
      <c r="A11" s="8">
        <v>-87</v>
      </c>
      <c r="B11" s="8">
        <v>-87</v>
      </c>
      <c r="C11" s="8">
        <v>2</v>
      </c>
      <c r="D11" s="8">
        <v>25.8</v>
      </c>
      <c r="E11" s="8">
        <v>24.4</v>
      </c>
      <c r="F11" s="8">
        <v>21.9</v>
      </c>
      <c r="G11" s="8">
        <v>51.6</v>
      </c>
      <c r="H11" s="8">
        <v>48.8</v>
      </c>
      <c r="I11" s="8">
        <v>43.8</v>
      </c>
    </row>
    <row r="12" spans="1:9" x14ac:dyDescent="0.35">
      <c r="A12" s="8">
        <v>-83.5</v>
      </c>
      <c r="B12" s="8">
        <v>-84.5</v>
      </c>
      <c r="C12" s="8">
        <v>3</v>
      </c>
      <c r="D12" s="8">
        <v>34.4</v>
      </c>
      <c r="E12" s="8">
        <v>32.5</v>
      </c>
      <c r="F12" s="8">
        <v>29.3</v>
      </c>
      <c r="G12" s="8">
        <v>68.8</v>
      </c>
      <c r="H12" s="8">
        <v>65</v>
      </c>
      <c r="I12" s="8">
        <v>58.6</v>
      </c>
    </row>
    <row r="13" spans="1:9" x14ac:dyDescent="0.35">
      <c r="A13" s="8">
        <v>-81.5</v>
      </c>
      <c r="B13" s="8">
        <v>-82.5</v>
      </c>
      <c r="C13" s="8">
        <v>19</v>
      </c>
      <c r="D13" s="8">
        <v>45.9</v>
      </c>
      <c r="E13" s="8">
        <v>43.3</v>
      </c>
      <c r="F13" s="8">
        <v>39</v>
      </c>
      <c r="G13" s="8">
        <v>91.8</v>
      </c>
      <c r="H13" s="8">
        <v>86.6</v>
      </c>
      <c r="I13" s="8">
        <v>78</v>
      </c>
    </row>
    <row r="14" spans="1:9" x14ac:dyDescent="0.35">
      <c r="A14" s="8">
        <v>-79</v>
      </c>
      <c r="B14" s="8">
        <v>-80</v>
      </c>
      <c r="C14" s="8">
        <v>4</v>
      </c>
      <c r="D14" s="8">
        <v>51.6</v>
      </c>
      <c r="E14" s="8">
        <v>48.8</v>
      </c>
      <c r="F14" s="8">
        <v>43.9</v>
      </c>
      <c r="G14" s="8">
        <v>103.2</v>
      </c>
      <c r="H14" s="8">
        <v>97.6</v>
      </c>
      <c r="I14" s="8">
        <v>87.8</v>
      </c>
    </row>
    <row r="15" spans="1:9" x14ac:dyDescent="0.35">
      <c r="A15" s="8">
        <v>-77.5</v>
      </c>
      <c r="B15" s="8">
        <v>-78.5</v>
      </c>
      <c r="C15" s="8">
        <v>20</v>
      </c>
      <c r="D15" s="8">
        <v>57.4</v>
      </c>
      <c r="E15" s="8">
        <v>54.2</v>
      </c>
      <c r="F15" s="8">
        <v>48.8</v>
      </c>
      <c r="G15" s="8">
        <v>114.8</v>
      </c>
      <c r="H15" s="8">
        <v>108.4</v>
      </c>
      <c r="I15" s="8">
        <v>97.6</v>
      </c>
    </row>
    <row r="16" spans="1:9" x14ac:dyDescent="0.35">
      <c r="A16" s="8">
        <v>-75</v>
      </c>
      <c r="B16" s="8">
        <v>-75</v>
      </c>
      <c r="C16" s="8">
        <v>5</v>
      </c>
      <c r="D16" s="8">
        <v>68.8</v>
      </c>
      <c r="E16" s="8">
        <v>65</v>
      </c>
      <c r="F16" s="8">
        <v>58.5</v>
      </c>
      <c r="G16" s="8">
        <v>137.6</v>
      </c>
      <c r="H16" s="8">
        <v>130</v>
      </c>
      <c r="I16" s="8">
        <v>117</v>
      </c>
    </row>
    <row r="17" spans="1:9" x14ac:dyDescent="0.35">
      <c r="A17" s="8">
        <v>-72.5</v>
      </c>
      <c r="B17" s="8">
        <v>-73.5</v>
      </c>
      <c r="C17" s="8">
        <v>6</v>
      </c>
      <c r="D17" s="8">
        <v>77.400000000000006</v>
      </c>
      <c r="E17" s="8">
        <v>73.099999999999994</v>
      </c>
      <c r="F17" s="8">
        <v>65.8</v>
      </c>
      <c r="G17" s="8">
        <v>154.80000000000001</v>
      </c>
      <c r="H17" s="8">
        <v>146.19999999999999</v>
      </c>
      <c r="I17" s="8">
        <v>131.6</v>
      </c>
    </row>
    <row r="18" spans="1:9" x14ac:dyDescent="0.35">
      <c r="A18" s="8">
        <v>-70</v>
      </c>
      <c r="B18" s="8">
        <v>-71</v>
      </c>
      <c r="C18" s="8">
        <v>7</v>
      </c>
      <c r="D18" s="8">
        <v>86</v>
      </c>
      <c r="E18" s="8">
        <v>81.3</v>
      </c>
      <c r="F18" s="8">
        <v>73.099999999999994</v>
      </c>
      <c r="G18" s="8">
        <v>172</v>
      </c>
      <c r="H18" s="8">
        <v>162.6</v>
      </c>
      <c r="I18" s="8">
        <v>146.19999999999999</v>
      </c>
    </row>
    <row r="19" spans="1:9" x14ac:dyDescent="0.35">
      <c r="A19" s="8">
        <v>-68.5</v>
      </c>
      <c r="B19" s="8">
        <v>-69.5</v>
      </c>
      <c r="C19" s="8">
        <v>23</v>
      </c>
      <c r="D19" s="8">
        <v>91.8</v>
      </c>
      <c r="E19" s="8">
        <v>86.7</v>
      </c>
      <c r="F19" s="8">
        <v>78</v>
      </c>
      <c r="G19" s="8">
        <v>183.6</v>
      </c>
      <c r="H19" s="8">
        <v>173.4</v>
      </c>
      <c r="I19" s="8">
        <v>156</v>
      </c>
    </row>
    <row r="20" spans="1:9" x14ac:dyDescent="0.35">
      <c r="A20" s="8">
        <v>-67</v>
      </c>
      <c r="B20" s="8">
        <v>-68</v>
      </c>
      <c r="C20" s="8">
        <v>8</v>
      </c>
      <c r="D20" s="8">
        <v>103.2</v>
      </c>
      <c r="E20" s="8">
        <v>97.5</v>
      </c>
      <c r="F20" s="8">
        <v>87.8</v>
      </c>
      <c r="G20" s="8">
        <v>206.4</v>
      </c>
      <c r="H20" s="8">
        <v>195</v>
      </c>
      <c r="I20" s="8">
        <v>175.6</v>
      </c>
    </row>
    <row r="21" spans="1:9" x14ac:dyDescent="0.35">
      <c r="A21" s="8">
        <v>-64.5</v>
      </c>
      <c r="B21" s="8">
        <v>-65.5</v>
      </c>
      <c r="C21" s="8">
        <v>9</v>
      </c>
      <c r="D21" s="8">
        <v>114.7</v>
      </c>
      <c r="E21" s="8">
        <v>108.3</v>
      </c>
      <c r="F21" s="8">
        <v>97.5</v>
      </c>
      <c r="G21" s="8">
        <v>229.4</v>
      </c>
      <c r="H21" s="8">
        <v>216.6</v>
      </c>
      <c r="I21" s="8">
        <v>195</v>
      </c>
    </row>
    <row r="22" spans="1:9" x14ac:dyDescent="0.35">
      <c r="A22" s="8">
        <v>-59</v>
      </c>
      <c r="B22" s="8">
        <v>-60</v>
      </c>
      <c r="C22" s="8">
        <v>10</v>
      </c>
      <c r="D22" s="8">
        <v>129</v>
      </c>
      <c r="E22" s="8">
        <v>121.9</v>
      </c>
      <c r="F22" s="8">
        <v>109.7</v>
      </c>
      <c r="G22" s="8">
        <v>258</v>
      </c>
      <c r="H22" s="8">
        <v>243.8</v>
      </c>
      <c r="I22" s="8">
        <v>219.4</v>
      </c>
    </row>
    <row r="23" spans="1:9" x14ac:dyDescent="0.35">
      <c r="A23" s="8">
        <v>-57</v>
      </c>
      <c r="B23" s="8">
        <v>-58</v>
      </c>
      <c r="C23" s="8">
        <v>11</v>
      </c>
      <c r="D23" s="8">
        <v>143.4</v>
      </c>
      <c r="E23" s="8">
        <v>135.4</v>
      </c>
      <c r="F23" s="8">
        <v>121.9</v>
      </c>
      <c r="G23" s="8">
        <v>286.8</v>
      </c>
      <c r="H23" s="8">
        <v>270.8</v>
      </c>
      <c r="I23" s="8">
        <v>243.8</v>
      </c>
    </row>
    <row r="24" spans="1:9" x14ac:dyDescent="0.35">
      <c r="A24" s="8">
        <v>-52.5</v>
      </c>
      <c r="B24" s="8">
        <v>-53.5</v>
      </c>
      <c r="C24" s="8">
        <v>12</v>
      </c>
      <c r="D24" s="8">
        <v>154.9</v>
      </c>
      <c r="E24" s="8">
        <v>146.30000000000001</v>
      </c>
      <c r="F24" s="8">
        <v>131.6</v>
      </c>
      <c r="G24" s="8">
        <v>309.8</v>
      </c>
      <c r="H24" s="8">
        <v>292.60000000000002</v>
      </c>
      <c r="I24" s="8">
        <v>263.2</v>
      </c>
    </row>
    <row r="25" spans="1:9" x14ac:dyDescent="0.35">
      <c r="A25" s="8">
        <v>-50.5</v>
      </c>
      <c r="B25" s="8">
        <v>-50.5</v>
      </c>
      <c r="C25" s="8">
        <v>13</v>
      </c>
      <c r="D25" s="8">
        <v>172.1</v>
      </c>
      <c r="E25" s="8">
        <v>162.5</v>
      </c>
      <c r="F25" s="8">
        <v>146.30000000000001</v>
      </c>
      <c r="G25" s="8">
        <v>344.2</v>
      </c>
      <c r="H25" s="8">
        <v>325</v>
      </c>
      <c r="I25" s="8">
        <v>292.60000000000002</v>
      </c>
    </row>
  </sheetData>
  <mergeCells count="2">
    <mergeCell ref="D5:F5"/>
    <mergeCell ref="G5:I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6"/>
  <sheetViews>
    <sheetView workbookViewId="0">
      <pane ySplit="6" topLeftCell="A7" activePane="bottomLeft" state="frozen"/>
      <selection pane="bottomLeft" activeCell="D5" sqref="D5:I5"/>
    </sheetView>
  </sheetViews>
  <sheetFormatPr defaultRowHeight="14.5" x14ac:dyDescent="0.35"/>
  <cols>
    <col min="1" max="1" width="10" customWidth="1"/>
    <col min="2" max="9" width="16" customWidth="1"/>
  </cols>
  <sheetData>
    <row r="1" spans="1:9" ht="17" x14ac:dyDescent="0.4">
      <c r="A1" s="3" t="s">
        <v>94</v>
      </c>
    </row>
    <row r="2" spans="1:9" x14ac:dyDescent="0.35">
      <c r="A2" s="2" t="s">
        <v>55</v>
      </c>
      <c r="B2" t="s">
        <v>47</v>
      </c>
    </row>
    <row r="4" spans="1:9" x14ac:dyDescent="0.35">
      <c r="A4" s="7" t="s">
        <v>56</v>
      </c>
      <c r="B4" s="7" t="s">
        <v>75</v>
      </c>
      <c r="C4" s="7" t="s">
        <v>57</v>
      </c>
    </row>
    <row r="5" spans="1:9" x14ac:dyDescent="0.35">
      <c r="A5" s="7" t="s">
        <v>76</v>
      </c>
      <c r="B5" s="7" t="s">
        <v>77</v>
      </c>
      <c r="C5" s="7"/>
      <c r="D5" s="10" t="s">
        <v>78</v>
      </c>
      <c r="E5" s="11"/>
      <c r="F5" s="12"/>
      <c r="G5" s="10" t="s">
        <v>79</v>
      </c>
      <c r="H5" s="11"/>
      <c r="I5" s="11"/>
    </row>
    <row r="6" spans="1:9" x14ac:dyDescent="0.35">
      <c r="A6" s="7"/>
      <c r="B6" s="7"/>
      <c r="C6" s="7"/>
      <c r="D6" s="7" t="s">
        <v>80</v>
      </c>
      <c r="E6" s="7" t="s">
        <v>81</v>
      </c>
      <c r="F6" s="7" t="s">
        <v>82</v>
      </c>
      <c r="G6" s="7" t="s">
        <v>80</v>
      </c>
      <c r="H6" s="7" t="s">
        <v>81</v>
      </c>
      <c r="I6" s="7" t="s">
        <v>82</v>
      </c>
    </row>
    <row r="7" spans="1:9" x14ac:dyDescent="0.35">
      <c r="A7" s="8">
        <v>-95</v>
      </c>
      <c r="B7" s="8">
        <v>-95</v>
      </c>
      <c r="C7" s="8" t="s">
        <v>67</v>
      </c>
      <c r="D7" s="8">
        <v>8.6</v>
      </c>
      <c r="E7" s="8">
        <v>8.1</v>
      </c>
      <c r="F7" s="8">
        <v>7.3</v>
      </c>
      <c r="G7" s="8" t="s">
        <v>83</v>
      </c>
      <c r="H7" s="8" t="s">
        <v>83</v>
      </c>
      <c r="I7" s="8" t="s">
        <v>83</v>
      </c>
    </row>
    <row r="8" spans="1:9" x14ac:dyDescent="0.35">
      <c r="A8" s="8">
        <v>-92</v>
      </c>
      <c r="B8" s="8">
        <v>-93</v>
      </c>
      <c r="C8" s="8" t="s">
        <v>69</v>
      </c>
      <c r="D8" s="8">
        <v>8.6</v>
      </c>
      <c r="E8" s="8">
        <v>8.1</v>
      </c>
      <c r="F8" s="8">
        <v>7.3</v>
      </c>
      <c r="G8" s="8">
        <v>17.2</v>
      </c>
      <c r="H8" s="8">
        <v>16.2</v>
      </c>
      <c r="I8" s="8">
        <v>14.6</v>
      </c>
    </row>
    <row r="9" spans="1:9" x14ac:dyDescent="0.35">
      <c r="A9" s="8">
        <v>-89</v>
      </c>
      <c r="B9" s="8">
        <v>-90</v>
      </c>
      <c r="C9" s="8">
        <v>0</v>
      </c>
      <c r="D9" s="8">
        <v>17.2</v>
      </c>
      <c r="E9" s="8">
        <v>16.3</v>
      </c>
      <c r="F9" s="8">
        <v>14.6</v>
      </c>
      <c r="G9" s="8">
        <v>34.4</v>
      </c>
      <c r="H9" s="8">
        <v>32.6</v>
      </c>
      <c r="I9" s="8">
        <v>29.2</v>
      </c>
    </row>
    <row r="10" spans="1:9" x14ac:dyDescent="0.35">
      <c r="A10" s="8">
        <v>-87</v>
      </c>
      <c r="B10" s="8">
        <v>-87</v>
      </c>
      <c r="C10" s="8">
        <v>1</v>
      </c>
      <c r="D10" s="8">
        <v>34.4</v>
      </c>
      <c r="E10" s="8">
        <v>32.5</v>
      </c>
      <c r="F10" s="8">
        <v>29.3</v>
      </c>
      <c r="G10" s="8">
        <v>68.8</v>
      </c>
      <c r="H10" s="8">
        <v>65</v>
      </c>
      <c r="I10" s="8">
        <v>58.6</v>
      </c>
    </row>
    <row r="11" spans="1:9" x14ac:dyDescent="0.35">
      <c r="A11" s="8">
        <v>-85</v>
      </c>
      <c r="B11" s="8">
        <v>-85</v>
      </c>
      <c r="C11" s="8">
        <v>17</v>
      </c>
      <c r="D11" s="8">
        <v>45.9</v>
      </c>
      <c r="E11" s="8">
        <v>43.3</v>
      </c>
      <c r="F11" s="8">
        <v>39</v>
      </c>
      <c r="G11" s="8">
        <v>91.8</v>
      </c>
      <c r="H11" s="8">
        <v>86.6</v>
      </c>
      <c r="I11" s="8">
        <v>78</v>
      </c>
    </row>
    <row r="12" spans="1:9" x14ac:dyDescent="0.35">
      <c r="A12" s="8">
        <v>-84</v>
      </c>
      <c r="B12" s="8">
        <v>-84</v>
      </c>
      <c r="C12" s="8">
        <v>2</v>
      </c>
      <c r="D12" s="8">
        <v>51.6</v>
      </c>
      <c r="E12" s="8">
        <v>48.8</v>
      </c>
      <c r="F12" s="8">
        <v>43.9</v>
      </c>
      <c r="G12" s="8">
        <v>103.2</v>
      </c>
      <c r="H12" s="8">
        <v>97.6</v>
      </c>
      <c r="I12" s="8">
        <v>87.8</v>
      </c>
    </row>
    <row r="13" spans="1:9" x14ac:dyDescent="0.35">
      <c r="A13" s="8">
        <v>-80</v>
      </c>
      <c r="B13" s="8">
        <v>-81</v>
      </c>
      <c r="C13" s="8">
        <v>3</v>
      </c>
      <c r="D13" s="8">
        <v>68.8</v>
      </c>
      <c r="E13" s="8">
        <v>65</v>
      </c>
      <c r="F13" s="8">
        <v>58.5</v>
      </c>
      <c r="G13" s="8">
        <v>137.6</v>
      </c>
      <c r="H13" s="8">
        <v>130</v>
      </c>
      <c r="I13" s="8">
        <v>117</v>
      </c>
    </row>
    <row r="14" spans="1:9" x14ac:dyDescent="0.35">
      <c r="A14" s="8">
        <v>-78</v>
      </c>
      <c r="B14" s="8">
        <v>-78</v>
      </c>
      <c r="C14" s="8">
        <v>19</v>
      </c>
      <c r="D14" s="8">
        <v>91.8</v>
      </c>
      <c r="E14" s="8">
        <v>86.7</v>
      </c>
      <c r="F14" s="8">
        <v>78</v>
      </c>
      <c r="G14" s="8">
        <v>183.6</v>
      </c>
      <c r="H14" s="8">
        <v>173.4</v>
      </c>
      <c r="I14" s="8">
        <v>156</v>
      </c>
    </row>
    <row r="15" spans="1:9" x14ac:dyDescent="0.35">
      <c r="A15" s="8">
        <v>-77</v>
      </c>
      <c r="B15" s="8">
        <v>-77</v>
      </c>
      <c r="C15" s="8">
        <v>4</v>
      </c>
      <c r="D15" s="8">
        <v>103.2</v>
      </c>
      <c r="E15" s="8">
        <v>97.5</v>
      </c>
      <c r="F15" s="8">
        <v>87.8</v>
      </c>
      <c r="G15" s="8">
        <v>206.4</v>
      </c>
      <c r="H15" s="8">
        <v>195</v>
      </c>
      <c r="I15" s="8">
        <v>175.6</v>
      </c>
    </row>
    <row r="16" spans="1:9" x14ac:dyDescent="0.35">
      <c r="A16" s="8">
        <v>-75.5</v>
      </c>
      <c r="B16" s="8">
        <v>-75.5</v>
      </c>
      <c r="C16" s="8">
        <v>20</v>
      </c>
      <c r="D16" s="8">
        <v>114.7</v>
      </c>
      <c r="E16" s="8">
        <v>108.3</v>
      </c>
      <c r="F16" s="8">
        <v>97.5</v>
      </c>
      <c r="G16" s="8">
        <v>229.4</v>
      </c>
      <c r="H16" s="8">
        <v>216.6</v>
      </c>
      <c r="I16" s="8">
        <v>195</v>
      </c>
    </row>
    <row r="17" spans="1:9" x14ac:dyDescent="0.35">
      <c r="A17" s="8">
        <v>-72.5</v>
      </c>
      <c r="B17" s="8">
        <v>-72.5</v>
      </c>
      <c r="C17" s="8">
        <v>5</v>
      </c>
      <c r="D17" s="8">
        <v>137.6</v>
      </c>
      <c r="E17" s="8">
        <v>130</v>
      </c>
      <c r="F17" s="8">
        <v>117</v>
      </c>
      <c r="G17" s="8">
        <v>275.2</v>
      </c>
      <c r="H17" s="8">
        <v>260</v>
      </c>
      <c r="I17" s="8">
        <v>234</v>
      </c>
    </row>
    <row r="18" spans="1:9" x14ac:dyDescent="0.35">
      <c r="A18" s="8">
        <v>-69.5</v>
      </c>
      <c r="B18" s="8">
        <v>-70.5</v>
      </c>
      <c r="C18" s="8">
        <v>6</v>
      </c>
      <c r="D18" s="8">
        <v>154.9</v>
      </c>
      <c r="E18" s="8">
        <v>146.30000000000001</v>
      </c>
      <c r="F18" s="8">
        <v>131.6</v>
      </c>
      <c r="G18" s="8">
        <v>309.8</v>
      </c>
      <c r="H18" s="8">
        <v>292.60000000000002</v>
      </c>
      <c r="I18" s="8">
        <v>263.2</v>
      </c>
    </row>
    <row r="19" spans="1:9" x14ac:dyDescent="0.35">
      <c r="A19" s="8">
        <v>-67</v>
      </c>
      <c r="B19" s="8">
        <v>-68</v>
      </c>
      <c r="C19" s="8">
        <v>7</v>
      </c>
      <c r="D19" s="8">
        <v>172.1</v>
      </c>
      <c r="E19" s="8">
        <v>162.5</v>
      </c>
      <c r="F19" s="8">
        <v>146.30000000000001</v>
      </c>
      <c r="G19" s="8">
        <v>344.2</v>
      </c>
      <c r="H19" s="8">
        <v>325</v>
      </c>
      <c r="I19" s="8">
        <v>292.60000000000002</v>
      </c>
    </row>
    <row r="20" spans="1:9" x14ac:dyDescent="0.35">
      <c r="A20" s="8">
        <v>-65</v>
      </c>
      <c r="B20" s="8">
        <v>-66</v>
      </c>
      <c r="C20" s="8">
        <v>23</v>
      </c>
      <c r="D20" s="8">
        <v>183.5</v>
      </c>
      <c r="E20" s="8">
        <v>173.3</v>
      </c>
      <c r="F20" s="8">
        <v>156</v>
      </c>
      <c r="G20" s="8">
        <v>367</v>
      </c>
      <c r="H20" s="8">
        <v>346.6</v>
      </c>
      <c r="I20" s="8">
        <v>312</v>
      </c>
    </row>
    <row r="21" spans="1:9" x14ac:dyDescent="0.35">
      <c r="A21" s="8">
        <v>-64</v>
      </c>
      <c r="B21" s="8">
        <v>-65</v>
      </c>
      <c r="C21" s="8">
        <v>8</v>
      </c>
      <c r="D21" s="8">
        <v>206.5</v>
      </c>
      <c r="E21" s="8">
        <v>195</v>
      </c>
      <c r="F21" s="8">
        <v>175.5</v>
      </c>
      <c r="G21" s="8">
        <v>413</v>
      </c>
      <c r="H21" s="8">
        <v>390</v>
      </c>
      <c r="I21" s="8">
        <v>351</v>
      </c>
    </row>
    <row r="22" spans="1:9" x14ac:dyDescent="0.35">
      <c r="A22" s="8">
        <v>-61.5</v>
      </c>
      <c r="B22" s="8">
        <v>-62.5</v>
      </c>
      <c r="C22" s="8">
        <v>9</v>
      </c>
      <c r="D22" s="8">
        <v>229.4</v>
      </c>
      <c r="E22" s="8">
        <v>216.7</v>
      </c>
      <c r="F22" s="8">
        <v>195</v>
      </c>
      <c r="G22" s="8">
        <v>458.8</v>
      </c>
      <c r="H22" s="8">
        <v>433.4</v>
      </c>
      <c r="I22" s="8">
        <v>390</v>
      </c>
    </row>
    <row r="23" spans="1:9" x14ac:dyDescent="0.35">
      <c r="A23" s="8">
        <v>-56</v>
      </c>
      <c r="B23" s="8">
        <v>-57</v>
      </c>
      <c r="C23" s="8">
        <v>10</v>
      </c>
      <c r="D23" s="8">
        <v>258.10000000000002</v>
      </c>
      <c r="E23" s="8">
        <v>243.8</v>
      </c>
      <c r="F23" s="8">
        <v>219.4</v>
      </c>
      <c r="G23" s="8">
        <v>516.20000000000005</v>
      </c>
      <c r="H23" s="8">
        <v>487.6</v>
      </c>
      <c r="I23" s="8">
        <v>438.8</v>
      </c>
    </row>
    <row r="24" spans="1:9" x14ac:dyDescent="0.35">
      <c r="A24" s="8">
        <v>-54</v>
      </c>
      <c r="B24" s="8">
        <v>-55</v>
      </c>
      <c r="C24" s="8">
        <v>11</v>
      </c>
      <c r="D24" s="8">
        <v>286.8</v>
      </c>
      <c r="E24" s="8">
        <v>270.8</v>
      </c>
      <c r="F24" s="8">
        <v>243.8</v>
      </c>
      <c r="G24" s="8">
        <v>573.6</v>
      </c>
      <c r="H24" s="8">
        <v>541.6</v>
      </c>
      <c r="I24" s="8">
        <v>487.6</v>
      </c>
    </row>
    <row r="25" spans="1:9" x14ac:dyDescent="0.35">
      <c r="A25" s="8">
        <v>-49.5</v>
      </c>
      <c r="B25" s="8">
        <v>-50.5</v>
      </c>
      <c r="C25" s="8">
        <v>12</v>
      </c>
      <c r="D25" s="8">
        <v>309.7</v>
      </c>
      <c r="E25" s="8">
        <v>292.5</v>
      </c>
      <c r="F25" s="8">
        <v>263.3</v>
      </c>
      <c r="G25" s="8">
        <v>619.4</v>
      </c>
      <c r="H25" s="8">
        <v>585</v>
      </c>
      <c r="I25" s="8">
        <v>526.6</v>
      </c>
    </row>
    <row r="26" spans="1:9" x14ac:dyDescent="0.35">
      <c r="A26" s="8">
        <v>-46.5</v>
      </c>
      <c r="B26" s="8">
        <v>-47.5</v>
      </c>
      <c r="C26" s="8">
        <v>13</v>
      </c>
      <c r="D26" s="8">
        <v>344.1</v>
      </c>
      <c r="E26" s="8">
        <v>325</v>
      </c>
      <c r="F26" s="8">
        <v>292.5</v>
      </c>
      <c r="G26" s="8">
        <v>688.2</v>
      </c>
      <c r="H26" s="8">
        <v>650</v>
      </c>
      <c r="I26" s="8">
        <v>585</v>
      </c>
    </row>
  </sheetData>
  <mergeCells count="2">
    <mergeCell ref="D5:F5"/>
    <mergeCell ref="G5:I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7"/>
  <sheetViews>
    <sheetView workbookViewId="0">
      <pane ySplit="6" topLeftCell="A7" activePane="bottomLeft" state="frozen"/>
      <selection pane="bottomLeft" activeCell="C5" sqref="C5:H5"/>
    </sheetView>
  </sheetViews>
  <sheetFormatPr defaultRowHeight="14.5" x14ac:dyDescent="0.35"/>
  <cols>
    <col min="1" max="1" width="10" customWidth="1"/>
    <col min="2" max="8" width="16" customWidth="1"/>
  </cols>
  <sheetData>
    <row r="1" spans="1:8" ht="17" x14ac:dyDescent="0.4">
      <c r="A1" s="3" t="s">
        <v>95</v>
      </c>
    </row>
    <row r="2" spans="1:8" x14ac:dyDescent="0.35">
      <c r="A2" s="2" t="s">
        <v>55</v>
      </c>
      <c r="B2" t="s">
        <v>49</v>
      </c>
    </row>
    <row r="4" spans="1:8" x14ac:dyDescent="0.35">
      <c r="A4" s="7" t="s">
        <v>56</v>
      </c>
      <c r="B4" s="7" t="s">
        <v>75</v>
      </c>
      <c r="C4" s="7" t="s">
        <v>57</v>
      </c>
    </row>
    <row r="5" spans="1:8" x14ac:dyDescent="0.35">
      <c r="A5" s="7"/>
      <c r="B5" s="7"/>
      <c r="C5" s="10" t="s">
        <v>78</v>
      </c>
      <c r="D5" s="11"/>
      <c r="E5" s="12"/>
      <c r="F5" s="10" t="s">
        <v>79</v>
      </c>
      <c r="G5" s="11"/>
      <c r="H5" s="11"/>
    </row>
    <row r="6" spans="1:8" x14ac:dyDescent="0.35">
      <c r="A6" s="7"/>
      <c r="B6" s="7"/>
      <c r="C6" s="7" t="s">
        <v>80</v>
      </c>
      <c r="D6" s="7" t="s">
        <v>81</v>
      </c>
      <c r="E6" s="7" t="s">
        <v>82</v>
      </c>
      <c r="F6" s="7" t="s">
        <v>80</v>
      </c>
      <c r="G6" s="7" t="s">
        <v>81</v>
      </c>
      <c r="H6" s="7" t="s">
        <v>82</v>
      </c>
    </row>
    <row r="7" spans="1:8" x14ac:dyDescent="0.35">
      <c r="A7" s="8">
        <v>-95</v>
      </c>
      <c r="B7" s="8" t="s">
        <v>67</v>
      </c>
      <c r="C7" s="8">
        <v>8.6</v>
      </c>
      <c r="D7" s="8">
        <v>8.1</v>
      </c>
      <c r="E7" s="8">
        <v>7.3</v>
      </c>
      <c r="F7" s="8" t="s">
        <v>83</v>
      </c>
      <c r="G7" s="8" t="s">
        <v>83</v>
      </c>
      <c r="H7" s="8" t="s">
        <v>83</v>
      </c>
    </row>
    <row r="8" spans="1:8" x14ac:dyDescent="0.35">
      <c r="A8" s="8">
        <v>-93</v>
      </c>
      <c r="B8" s="8" t="s">
        <v>69</v>
      </c>
      <c r="C8" s="8">
        <v>8.6</v>
      </c>
      <c r="D8" s="8">
        <v>8.1</v>
      </c>
      <c r="E8" s="8">
        <v>7.3</v>
      </c>
      <c r="F8" s="8">
        <v>17.2</v>
      </c>
      <c r="G8" s="8">
        <v>16.2</v>
      </c>
      <c r="H8" s="8">
        <v>14.6</v>
      </c>
    </row>
    <row r="9" spans="1:8" x14ac:dyDescent="0.35">
      <c r="A9" s="8">
        <v>-90</v>
      </c>
      <c r="B9" s="8" t="s">
        <v>71</v>
      </c>
      <c r="C9" s="8">
        <v>17.2</v>
      </c>
      <c r="D9" s="8">
        <v>16.3</v>
      </c>
      <c r="E9" s="8">
        <v>14.6</v>
      </c>
      <c r="F9" s="8">
        <v>34.4</v>
      </c>
      <c r="G9" s="8">
        <v>32.6</v>
      </c>
      <c r="H9" s="8">
        <v>29.2</v>
      </c>
    </row>
    <row r="10" spans="1:8" x14ac:dyDescent="0.35">
      <c r="A10" s="8">
        <v>-87</v>
      </c>
      <c r="B10" s="8">
        <v>0</v>
      </c>
      <c r="C10" s="8">
        <v>36</v>
      </c>
      <c r="D10" s="8">
        <v>34</v>
      </c>
      <c r="E10" s="8">
        <v>30.6</v>
      </c>
      <c r="F10" s="8">
        <v>72</v>
      </c>
      <c r="G10" s="8">
        <v>68</v>
      </c>
      <c r="H10" s="8">
        <v>61.2</v>
      </c>
    </row>
    <row r="11" spans="1:8" x14ac:dyDescent="0.35">
      <c r="A11" s="8">
        <v>-83.5</v>
      </c>
      <c r="B11" s="8">
        <v>1</v>
      </c>
      <c r="C11" s="8">
        <v>72.099999999999994</v>
      </c>
      <c r="D11" s="8">
        <v>68.099999999999994</v>
      </c>
      <c r="E11" s="8">
        <v>61.3</v>
      </c>
      <c r="F11" s="8">
        <v>144.19999999999999</v>
      </c>
      <c r="G11" s="8">
        <v>136.19999999999999</v>
      </c>
      <c r="H11" s="8">
        <v>122.6</v>
      </c>
    </row>
    <row r="12" spans="1:8" x14ac:dyDescent="0.35">
      <c r="A12" s="8">
        <v>-81.5</v>
      </c>
      <c r="B12" s="8">
        <v>17</v>
      </c>
      <c r="C12" s="8">
        <v>96</v>
      </c>
      <c r="D12" s="8">
        <v>90.7</v>
      </c>
      <c r="E12" s="8">
        <v>81.599999999999994</v>
      </c>
      <c r="F12" s="8">
        <v>192</v>
      </c>
      <c r="G12" s="8">
        <v>181.4</v>
      </c>
      <c r="H12" s="8">
        <v>163.19999999999999</v>
      </c>
    </row>
    <row r="13" spans="1:8" x14ac:dyDescent="0.35">
      <c r="A13" s="8">
        <v>-80.5</v>
      </c>
      <c r="B13" s="8">
        <v>2</v>
      </c>
      <c r="C13" s="8">
        <v>108.1</v>
      </c>
      <c r="D13" s="8">
        <v>102.1</v>
      </c>
      <c r="E13" s="8">
        <v>91.9</v>
      </c>
      <c r="F13" s="8">
        <v>216.2</v>
      </c>
      <c r="G13" s="8">
        <v>204.2</v>
      </c>
      <c r="H13" s="8">
        <v>183.8</v>
      </c>
    </row>
    <row r="14" spans="1:8" x14ac:dyDescent="0.35">
      <c r="A14" s="8">
        <v>-78.5</v>
      </c>
      <c r="B14" s="8">
        <v>3</v>
      </c>
      <c r="C14" s="8">
        <v>144.1</v>
      </c>
      <c r="D14" s="8">
        <v>136.1</v>
      </c>
      <c r="E14" s="8">
        <v>122.5</v>
      </c>
      <c r="F14" s="8">
        <v>288.2</v>
      </c>
      <c r="G14" s="8">
        <v>272.2</v>
      </c>
      <c r="H14" s="8">
        <v>245</v>
      </c>
    </row>
    <row r="15" spans="1:8" x14ac:dyDescent="0.35">
      <c r="A15" s="8">
        <v>-75</v>
      </c>
      <c r="B15" s="8">
        <v>19</v>
      </c>
      <c r="C15" s="8">
        <v>192.1</v>
      </c>
      <c r="D15" s="8">
        <v>181.5</v>
      </c>
      <c r="E15" s="8">
        <v>163.30000000000001</v>
      </c>
      <c r="F15" s="8">
        <v>384.2</v>
      </c>
      <c r="G15" s="8">
        <v>363</v>
      </c>
      <c r="H15" s="8">
        <v>326.60000000000002</v>
      </c>
    </row>
    <row r="16" spans="1:8" x14ac:dyDescent="0.35">
      <c r="A16" s="8">
        <v>-74</v>
      </c>
      <c r="B16" s="8">
        <v>4</v>
      </c>
      <c r="C16" s="8">
        <v>216.2</v>
      </c>
      <c r="D16" s="8">
        <v>204.2</v>
      </c>
      <c r="E16" s="8">
        <v>183.8</v>
      </c>
      <c r="F16" s="8">
        <v>432.4</v>
      </c>
      <c r="G16" s="8">
        <v>408.4</v>
      </c>
      <c r="H16" s="8">
        <v>367.6</v>
      </c>
    </row>
    <row r="17" spans="1:8" x14ac:dyDescent="0.35">
      <c r="A17" s="8">
        <v>-72.5</v>
      </c>
      <c r="B17" s="8">
        <v>20</v>
      </c>
      <c r="C17" s="8">
        <v>240.1</v>
      </c>
      <c r="D17" s="8">
        <v>226.8</v>
      </c>
      <c r="E17" s="8">
        <v>204.1</v>
      </c>
      <c r="F17" s="8">
        <v>480.2</v>
      </c>
      <c r="G17" s="8">
        <v>453.6</v>
      </c>
      <c r="H17" s="8">
        <v>408.2</v>
      </c>
    </row>
    <row r="18" spans="1:8" x14ac:dyDescent="0.35">
      <c r="A18" s="8">
        <v>-69.5</v>
      </c>
      <c r="B18" s="8">
        <v>5</v>
      </c>
      <c r="C18" s="8">
        <v>288.2</v>
      </c>
      <c r="D18" s="8">
        <v>272.2</v>
      </c>
      <c r="E18" s="8">
        <v>245</v>
      </c>
      <c r="F18" s="8">
        <v>576.4</v>
      </c>
      <c r="G18" s="8">
        <v>544.4</v>
      </c>
      <c r="H18" s="8">
        <v>490</v>
      </c>
    </row>
    <row r="19" spans="1:8" x14ac:dyDescent="0.35">
      <c r="A19" s="8">
        <v>-67</v>
      </c>
      <c r="B19" s="8">
        <v>6</v>
      </c>
      <c r="C19" s="8">
        <v>324.3</v>
      </c>
      <c r="D19" s="8">
        <v>306.3</v>
      </c>
      <c r="E19" s="8">
        <v>275.60000000000002</v>
      </c>
      <c r="F19" s="8">
        <v>648.6</v>
      </c>
      <c r="G19" s="8">
        <v>612.6</v>
      </c>
      <c r="H19" s="8">
        <v>551.20000000000005</v>
      </c>
    </row>
    <row r="20" spans="1:8" x14ac:dyDescent="0.35">
      <c r="A20" s="8">
        <v>-66</v>
      </c>
      <c r="B20" s="8">
        <v>7</v>
      </c>
      <c r="C20" s="8">
        <v>360.3</v>
      </c>
      <c r="D20" s="8">
        <v>340.3</v>
      </c>
      <c r="E20" s="8">
        <v>306.3</v>
      </c>
      <c r="F20" s="8">
        <v>720.6</v>
      </c>
      <c r="G20" s="8">
        <v>680.6</v>
      </c>
      <c r="H20" s="8">
        <v>612.6</v>
      </c>
    </row>
    <row r="21" spans="1:8" x14ac:dyDescent="0.35">
      <c r="A21" s="8">
        <v>-65</v>
      </c>
      <c r="B21" s="8">
        <v>23</v>
      </c>
      <c r="C21" s="8">
        <v>384.3</v>
      </c>
      <c r="D21" s="8">
        <v>362.9</v>
      </c>
      <c r="E21" s="8">
        <v>326.60000000000002</v>
      </c>
      <c r="F21" s="8">
        <v>768.6</v>
      </c>
      <c r="G21" s="8">
        <v>725.8</v>
      </c>
      <c r="H21" s="8">
        <v>653.20000000000005</v>
      </c>
    </row>
    <row r="22" spans="1:8" x14ac:dyDescent="0.35">
      <c r="A22" s="8">
        <v>-61.5</v>
      </c>
      <c r="B22" s="8">
        <v>8</v>
      </c>
      <c r="C22" s="8">
        <v>432.4</v>
      </c>
      <c r="D22" s="8">
        <v>408.3</v>
      </c>
      <c r="E22" s="8">
        <v>367.5</v>
      </c>
      <c r="F22" s="8">
        <v>864.8</v>
      </c>
      <c r="G22" s="8">
        <v>816.6</v>
      </c>
      <c r="H22" s="8">
        <v>735</v>
      </c>
    </row>
    <row r="23" spans="1:8" x14ac:dyDescent="0.35">
      <c r="A23" s="8">
        <v>-59.5</v>
      </c>
      <c r="B23" s="8">
        <v>9</v>
      </c>
      <c r="C23" s="8">
        <v>480.4</v>
      </c>
      <c r="D23" s="8">
        <v>453.7</v>
      </c>
      <c r="E23" s="8">
        <v>408.3</v>
      </c>
      <c r="F23" s="8">
        <v>960.8</v>
      </c>
      <c r="G23" s="8">
        <v>907.4</v>
      </c>
      <c r="H23" s="8">
        <v>816.6</v>
      </c>
    </row>
    <row r="24" spans="1:8" x14ac:dyDescent="0.35">
      <c r="A24" s="8">
        <v>-55.5</v>
      </c>
      <c r="B24" s="8">
        <v>10</v>
      </c>
      <c r="C24" s="8">
        <v>540.4</v>
      </c>
      <c r="D24" s="8">
        <v>510.4</v>
      </c>
      <c r="E24" s="8">
        <v>459.4</v>
      </c>
      <c r="F24" s="8">
        <v>1080.8</v>
      </c>
      <c r="G24" s="8">
        <v>1020.8</v>
      </c>
      <c r="H24" s="8">
        <v>918.8</v>
      </c>
    </row>
    <row r="25" spans="1:8" x14ac:dyDescent="0.35">
      <c r="A25" s="8">
        <v>-52.5</v>
      </c>
      <c r="B25" s="8">
        <v>11</v>
      </c>
      <c r="C25" s="8">
        <v>600.4</v>
      </c>
      <c r="D25" s="8">
        <v>567.1</v>
      </c>
      <c r="E25" s="8">
        <v>510.4</v>
      </c>
      <c r="F25" s="8">
        <v>1200.8</v>
      </c>
      <c r="G25" s="8">
        <v>1134.2</v>
      </c>
      <c r="H25" s="8">
        <v>1020.8</v>
      </c>
    </row>
    <row r="26" spans="1:8" x14ac:dyDescent="0.35">
      <c r="A26" s="8">
        <v>-47.5</v>
      </c>
      <c r="B26" s="8">
        <v>12</v>
      </c>
      <c r="C26" s="8">
        <v>648.5</v>
      </c>
      <c r="D26" s="8">
        <v>612.5</v>
      </c>
      <c r="E26" s="8">
        <v>551.29999999999995</v>
      </c>
      <c r="F26" s="8">
        <v>1297</v>
      </c>
      <c r="G26" s="8">
        <v>1225</v>
      </c>
      <c r="H26" s="8">
        <v>1102.5999999999999</v>
      </c>
    </row>
    <row r="27" spans="1:8" x14ac:dyDescent="0.35">
      <c r="A27" s="8">
        <v>-44.5</v>
      </c>
      <c r="B27" s="8">
        <v>13</v>
      </c>
      <c r="C27" s="8">
        <v>720.6</v>
      </c>
      <c r="D27" s="8">
        <v>680.6</v>
      </c>
      <c r="E27" s="8">
        <v>612.5</v>
      </c>
      <c r="F27" s="8">
        <v>1441.2</v>
      </c>
      <c r="G27" s="8">
        <v>1361.2</v>
      </c>
      <c r="H27" s="8">
        <v>1225</v>
      </c>
    </row>
  </sheetData>
  <mergeCells count="2">
    <mergeCell ref="C5:E5"/>
    <mergeCell ref="F5:H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8"/>
  <sheetViews>
    <sheetView workbookViewId="0">
      <pane ySplit="6" topLeftCell="A7" activePane="bottomLeft" state="frozen"/>
      <selection pane="bottomLeft" activeCell="C5" sqref="C5:H5"/>
    </sheetView>
  </sheetViews>
  <sheetFormatPr defaultRowHeight="14.5" x14ac:dyDescent="0.35"/>
  <cols>
    <col min="1" max="1" width="10" customWidth="1"/>
    <col min="2" max="8" width="16" customWidth="1"/>
  </cols>
  <sheetData>
    <row r="1" spans="1:8" ht="17" x14ac:dyDescent="0.4">
      <c r="A1" s="3" t="s">
        <v>96</v>
      </c>
    </row>
    <row r="2" spans="1:8" x14ac:dyDescent="0.35">
      <c r="A2" s="2" t="s">
        <v>55</v>
      </c>
      <c r="B2" t="s">
        <v>51</v>
      </c>
    </row>
    <row r="4" spans="1:8" x14ac:dyDescent="0.35">
      <c r="A4" s="7" t="s">
        <v>56</v>
      </c>
      <c r="B4" s="7" t="s">
        <v>75</v>
      </c>
      <c r="C4" s="7" t="s">
        <v>57</v>
      </c>
    </row>
    <row r="5" spans="1:8" x14ac:dyDescent="0.35">
      <c r="A5" s="7"/>
      <c r="B5" s="7"/>
      <c r="C5" s="10" t="s">
        <v>78</v>
      </c>
      <c r="D5" s="11"/>
      <c r="E5" s="12"/>
      <c r="F5" s="10" t="s">
        <v>79</v>
      </c>
      <c r="G5" s="11"/>
      <c r="H5" s="11"/>
    </row>
    <row r="6" spans="1:8" x14ac:dyDescent="0.35">
      <c r="A6" s="7"/>
      <c r="B6" s="7"/>
      <c r="C6" s="7" t="s">
        <v>80</v>
      </c>
      <c r="D6" s="7" t="s">
        <v>81</v>
      </c>
      <c r="E6" s="7" t="s">
        <v>82</v>
      </c>
      <c r="F6" s="7" t="s">
        <v>80</v>
      </c>
      <c r="G6" s="7" t="s">
        <v>81</v>
      </c>
      <c r="H6" s="7" t="s">
        <v>82</v>
      </c>
    </row>
    <row r="7" spans="1:8" x14ac:dyDescent="0.35">
      <c r="A7" s="8">
        <v>-95</v>
      </c>
      <c r="B7" s="8" t="s">
        <v>67</v>
      </c>
      <c r="C7" s="8">
        <v>8.6</v>
      </c>
      <c r="D7" s="8">
        <v>8.1</v>
      </c>
      <c r="E7" s="8">
        <v>7.3</v>
      </c>
      <c r="F7" s="8" t="s">
        <v>83</v>
      </c>
      <c r="G7" s="8" t="s">
        <v>83</v>
      </c>
      <c r="H7" s="8" t="s">
        <v>83</v>
      </c>
    </row>
    <row r="8" spans="1:8" x14ac:dyDescent="0.35">
      <c r="A8" s="8">
        <v>-93</v>
      </c>
      <c r="B8" s="8" t="s">
        <v>69</v>
      </c>
      <c r="C8" s="8">
        <v>8.6</v>
      </c>
      <c r="D8" s="8">
        <v>8.1</v>
      </c>
      <c r="E8" s="8">
        <v>7.3</v>
      </c>
      <c r="F8" s="8">
        <v>17.2</v>
      </c>
      <c r="G8" s="8">
        <v>16.2</v>
      </c>
      <c r="H8" s="8">
        <v>14.6</v>
      </c>
    </row>
    <row r="9" spans="1:8" x14ac:dyDescent="0.35">
      <c r="A9" s="8">
        <v>-90</v>
      </c>
      <c r="B9" s="8" t="s">
        <v>71</v>
      </c>
      <c r="C9" s="8">
        <v>17.2</v>
      </c>
      <c r="D9" s="8">
        <v>16.3</v>
      </c>
      <c r="E9" s="8">
        <v>14.6</v>
      </c>
      <c r="F9" s="8">
        <v>34.4</v>
      </c>
      <c r="G9" s="8">
        <v>32.6</v>
      </c>
      <c r="H9" s="8">
        <v>29.2</v>
      </c>
    </row>
    <row r="10" spans="1:8" x14ac:dyDescent="0.35">
      <c r="A10" s="8">
        <v>-87</v>
      </c>
      <c r="B10" s="8" t="s">
        <v>73</v>
      </c>
      <c r="C10" s="8">
        <v>36</v>
      </c>
      <c r="D10" s="8">
        <v>34</v>
      </c>
      <c r="E10" s="8">
        <v>30.6</v>
      </c>
      <c r="F10" s="8">
        <v>72</v>
      </c>
      <c r="G10" s="8">
        <v>68</v>
      </c>
      <c r="H10" s="8">
        <v>61.2</v>
      </c>
    </row>
    <row r="11" spans="1:8" x14ac:dyDescent="0.35">
      <c r="A11" s="8">
        <v>-84</v>
      </c>
      <c r="B11" s="8">
        <v>0</v>
      </c>
      <c r="C11" s="8">
        <v>72.099999999999994</v>
      </c>
      <c r="D11" s="8">
        <v>68.099999999999994</v>
      </c>
      <c r="E11" s="8">
        <v>61.3</v>
      </c>
      <c r="F11" s="8">
        <v>144.19999999999999</v>
      </c>
      <c r="G11" s="8">
        <v>136.19999999999999</v>
      </c>
      <c r="H11" s="8">
        <v>122.6</v>
      </c>
    </row>
    <row r="12" spans="1:8" x14ac:dyDescent="0.35">
      <c r="A12" s="8">
        <v>-81</v>
      </c>
      <c r="B12" s="8">
        <v>1</v>
      </c>
      <c r="C12" s="8">
        <v>144.1</v>
      </c>
      <c r="D12" s="8">
        <v>136.1</v>
      </c>
      <c r="E12" s="8">
        <v>122.5</v>
      </c>
      <c r="F12" s="8">
        <v>288.2</v>
      </c>
      <c r="G12" s="8">
        <v>272.2</v>
      </c>
      <c r="H12" s="8">
        <v>245</v>
      </c>
    </row>
    <row r="13" spans="1:8" x14ac:dyDescent="0.35">
      <c r="A13" s="8">
        <v>-79</v>
      </c>
      <c r="B13" s="8">
        <v>17</v>
      </c>
      <c r="C13" s="8">
        <v>192.1</v>
      </c>
      <c r="D13" s="8">
        <v>181.5</v>
      </c>
      <c r="E13" s="8">
        <v>163.30000000000001</v>
      </c>
      <c r="F13" s="8">
        <v>384.2</v>
      </c>
      <c r="G13" s="8">
        <v>363</v>
      </c>
      <c r="H13" s="8">
        <v>326.60000000000002</v>
      </c>
    </row>
    <row r="14" spans="1:8" x14ac:dyDescent="0.35">
      <c r="A14" s="8">
        <v>-78</v>
      </c>
      <c r="B14" s="8">
        <v>2</v>
      </c>
      <c r="C14" s="8">
        <v>216.2</v>
      </c>
      <c r="D14" s="8">
        <v>204.2</v>
      </c>
      <c r="E14" s="8">
        <v>183.5</v>
      </c>
      <c r="F14" s="8">
        <v>432.4</v>
      </c>
      <c r="G14" s="8">
        <v>408.4</v>
      </c>
      <c r="H14" s="8">
        <v>367</v>
      </c>
    </row>
    <row r="15" spans="1:8" x14ac:dyDescent="0.35">
      <c r="A15" s="8">
        <v>-76</v>
      </c>
      <c r="B15" s="8">
        <v>3</v>
      </c>
      <c r="C15" s="8">
        <v>288.2</v>
      </c>
      <c r="D15" s="8">
        <v>272.2</v>
      </c>
      <c r="E15" s="8">
        <v>245</v>
      </c>
      <c r="F15" s="8">
        <v>576.4</v>
      </c>
      <c r="G15" s="8">
        <v>544.4</v>
      </c>
      <c r="H15" s="8">
        <v>490</v>
      </c>
    </row>
    <row r="16" spans="1:8" x14ac:dyDescent="0.35">
      <c r="A16" s="8">
        <v>-72.5</v>
      </c>
      <c r="B16" s="8">
        <v>19</v>
      </c>
      <c r="C16" s="8">
        <v>384.3</v>
      </c>
      <c r="D16" s="8">
        <v>362.9</v>
      </c>
      <c r="E16" s="8">
        <v>326.60000000000002</v>
      </c>
      <c r="F16" s="8">
        <v>768.6</v>
      </c>
      <c r="G16" s="8">
        <v>725.8</v>
      </c>
      <c r="H16" s="8">
        <v>653.20000000000005</v>
      </c>
    </row>
    <row r="17" spans="1:8" x14ac:dyDescent="0.35">
      <c r="A17" s="8">
        <v>-71.5</v>
      </c>
      <c r="B17" s="8">
        <v>4</v>
      </c>
      <c r="C17" s="8">
        <v>432.4</v>
      </c>
      <c r="D17" s="8">
        <v>408.3</v>
      </c>
      <c r="E17" s="8">
        <v>367.5</v>
      </c>
      <c r="F17" s="8">
        <v>864.8</v>
      </c>
      <c r="G17" s="8">
        <v>816.6</v>
      </c>
      <c r="H17" s="8">
        <v>735</v>
      </c>
    </row>
    <row r="18" spans="1:8" x14ac:dyDescent="0.35">
      <c r="A18" s="8">
        <v>-70</v>
      </c>
      <c r="B18" s="8">
        <v>20</v>
      </c>
      <c r="C18" s="8">
        <v>480.4</v>
      </c>
      <c r="D18" s="8">
        <v>453.7</v>
      </c>
      <c r="E18" s="8">
        <v>408.3</v>
      </c>
      <c r="F18" s="8">
        <v>960.8</v>
      </c>
      <c r="G18" s="8">
        <v>907.4</v>
      </c>
      <c r="H18" s="8">
        <v>816.6</v>
      </c>
    </row>
    <row r="19" spans="1:8" x14ac:dyDescent="0.35">
      <c r="A19" s="8">
        <v>-67.5</v>
      </c>
      <c r="B19" s="8">
        <v>5</v>
      </c>
      <c r="C19" s="8">
        <v>576.5</v>
      </c>
      <c r="D19" s="8">
        <v>544.4</v>
      </c>
      <c r="E19" s="8">
        <v>490</v>
      </c>
      <c r="F19" s="8">
        <v>1153</v>
      </c>
      <c r="G19" s="8">
        <v>1088.8</v>
      </c>
      <c r="H19" s="8">
        <v>980</v>
      </c>
    </row>
    <row r="20" spans="1:8" x14ac:dyDescent="0.35">
      <c r="A20" s="8">
        <v>-65</v>
      </c>
      <c r="B20" s="8">
        <v>6</v>
      </c>
      <c r="C20" s="8">
        <v>648.5</v>
      </c>
      <c r="D20" s="8">
        <v>612.5</v>
      </c>
      <c r="E20" s="8">
        <v>551.29999999999995</v>
      </c>
      <c r="F20" s="8">
        <v>1297</v>
      </c>
      <c r="G20" s="8">
        <v>1225</v>
      </c>
      <c r="H20" s="8">
        <v>1102.5999999999999</v>
      </c>
    </row>
    <row r="21" spans="1:8" x14ac:dyDescent="0.35">
      <c r="A21" s="8">
        <v>-63.5</v>
      </c>
      <c r="B21" s="8">
        <v>7</v>
      </c>
      <c r="C21" s="8">
        <v>720.6</v>
      </c>
      <c r="D21" s="8">
        <v>680.6</v>
      </c>
      <c r="E21" s="8">
        <v>612.5</v>
      </c>
      <c r="F21" s="8">
        <v>1441.2</v>
      </c>
      <c r="G21" s="8">
        <v>1361.2</v>
      </c>
      <c r="H21" s="8">
        <v>1225</v>
      </c>
    </row>
    <row r="22" spans="1:8" x14ac:dyDescent="0.35">
      <c r="A22" s="8">
        <v>-61</v>
      </c>
      <c r="B22" s="8">
        <v>23</v>
      </c>
      <c r="C22" s="8">
        <v>768.6</v>
      </c>
      <c r="D22" s="8">
        <v>725.9</v>
      </c>
      <c r="E22" s="8">
        <v>653.29999999999995</v>
      </c>
      <c r="F22" s="8">
        <v>1537.2</v>
      </c>
      <c r="G22" s="8">
        <v>1451.8</v>
      </c>
      <c r="H22" s="8">
        <v>1306.5999999999999</v>
      </c>
    </row>
    <row r="23" spans="1:8" x14ac:dyDescent="0.35">
      <c r="A23" s="8">
        <v>-59</v>
      </c>
      <c r="B23" s="8">
        <v>8</v>
      </c>
      <c r="C23" s="8">
        <v>864.7</v>
      </c>
      <c r="D23" s="8">
        <v>816.7</v>
      </c>
      <c r="E23" s="8">
        <v>735</v>
      </c>
      <c r="F23" s="8">
        <v>1729.4</v>
      </c>
      <c r="G23" s="8">
        <v>1633.4</v>
      </c>
      <c r="H23" s="8">
        <v>1470</v>
      </c>
    </row>
    <row r="24" spans="1:8" x14ac:dyDescent="0.35">
      <c r="A24" s="8">
        <v>-57</v>
      </c>
      <c r="B24" s="8">
        <v>9</v>
      </c>
      <c r="C24" s="8">
        <v>960.7</v>
      </c>
      <c r="D24" s="8">
        <v>907.4</v>
      </c>
      <c r="E24" s="8">
        <v>816.6</v>
      </c>
      <c r="F24" s="8">
        <v>1921.4</v>
      </c>
      <c r="G24" s="8">
        <v>1814.8</v>
      </c>
      <c r="H24" s="8">
        <v>1633.2</v>
      </c>
    </row>
    <row r="25" spans="1:8" x14ac:dyDescent="0.35">
      <c r="A25" s="8">
        <v>-52.5</v>
      </c>
      <c r="B25" s="8">
        <v>10</v>
      </c>
      <c r="C25" s="8">
        <v>1080.9000000000001</v>
      </c>
      <c r="D25" s="8">
        <v>1020.8</v>
      </c>
      <c r="E25" s="8">
        <v>918.8</v>
      </c>
      <c r="F25" s="8">
        <v>2161.8000000000002</v>
      </c>
      <c r="G25" s="8">
        <v>2041.6</v>
      </c>
      <c r="H25" s="8">
        <v>1837.6</v>
      </c>
    </row>
    <row r="26" spans="1:8" x14ac:dyDescent="0.35">
      <c r="A26" s="8">
        <v>-50.5</v>
      </c>
      <c r="B26" s="8">
        <v>11</v>
      </c>
      <c r="C26" s="8">
        <v>1201</v>
      </c>
      <c r="D26" s="8">
        <v>1134.2</v>
      </c>
      <c r="E26" s="8">
        <v>1020.8</v>
      </c>
      <c r="F26" s="8">
        <v>2402</v>
      </c>
      <c r="G26" s="8">
        <v>2268.4</v>
      </c>
      <c r="H26" s="8">
        <v>2041.6</v>
      </c>
    </row>
    <row r="27" spans="1:8" x14ac:dyDescent="0.35">
      <c r="A27" s="8">
        <v>-46</v>
      </c>
      <c r="B27" s="8">
        <v>12</v>
      </c>
      <c r="C27" s="8">
        <v>1297.0999999999999</v>
      </c>
      <c r="D27" s="8">
        <v>1225</v>
      </c>
      <c r="E27" s="8">
        <v>1102.5</v>
      </c>
      <c r="F27" s="8">
        <v>2594.1999999999998</v>
      </c>
      <c r="G27" s="8">
        <v>2450</v>
      </c>
      <c r="H27" s="8">
        <v>2205</v>
      </c>
    </row>
    <row r="28" spans="1:8" x14ac:dyDescent="0.35">
      <c r="A28" s="8">
        <v>-42</v>
      </c>
      <c r="B28" s="8">
        <v>13</v>
      </c>
      <c r="C28" s="8">
        <v>1441.2</v>
      </c>
      <c r="D28" s="8">
        <v>1361.1</v>
      </c>
      <c r="E28" s="8">
        <v>1225</v>
      </c>
      <c r="F28" s="8">
        <v>2882.4</v>
      </c>
      <c r="G28" s="8">
        <v>2722.2</v>
      </c>
      <c r="H28" s="8">
        <v>2450</v>
      </c>
    </row>
  </sheetData>
  <mergeCells count="2">
    <mergeCell ref="C5:E5"/>
    <mergeCell ref="F5:H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9"/>
  <sheetViews>
    <sheetView workbookViewId="0">
      <pane ySplit="6" topLeftCell="A7" activePane="bottomLeft" state="frozen"/>
      <selection pane="bottomLeft" activeCell="C5" sqref="C5:H5"/>
    </sheetView>
  </sheetViews>
  <sheetFormatPr defaultRowHeight="14.5" x14ac:dyDescent="0.35"/>
  <cols>
    <col min="1" max="1" width="10" customWidth="1"/>
    <col min="2" max="8" width="16" customWidth="1"/>
  </cols>
  <sheetData>
    <row r="1" spans="1:8" ht="17" x14ac:dyDescent="0.4">
      <c r="A1" s="3" t="s">
        <v>97</v>
      </c>
    </row>
    <row r="2" spans="1:8" x14ac:dyDescent="0.35">
      <c r="A2" s="2" t="s">
        <v>55</v>
      </c>
      <c r="B2" t="s">
        <v>53</v>
      </c>
    </row>
    <row r="4" spans="1:8" x14ac:dyDescent="0.35">
      <c r="A4" s="7" t="s">
        <v>56</v>
      </c>
      <c r="B4" s="7" t="s">
        <v>75</v>
      </c>
      <c r="C4" s="7" t="s">
        <v>57</v>
      </c>
    </row>
    <row r="5" spans="1:8" x14ac:dyDescent="0.35">
      <c r="A5" s="7"/>
      <c r="B5" s="7"/>
      <c r="C5" s="10" t="s">
        <v>78</v>
      </c>
      <c r="D5" s="11"/>
      <c r="E5" s="12"/>
      <c r="F5" s="10" t="s">
        <v>79</v>
      </c>
      <c r="G5" s="11"/>
      <c r="H5" s="11"/>
    </row>
    <row r="6" spans="1:8" x14ac:dyDescent="0.35">
      <c r="A6" s="7"/>
      <c r="B6" s="7"/>
      <c r="C6" s="7" t="s">
        <v>80</v>
      </c>
      <c r="D6" s="7" t="s">
        <v>81</v>
      </c>
      <c r="E6" s="7" t="s">
        <v>82</v>
      </c>
      <c r="F6" s="7" t="s">
        <v>80</v>
      </c>
      <c r="G6" s="7" t="s">
        <v>81</v>
      </c>
      <c r="H6" s="7" t="s">
        <v>82</v>
      </c>
    </row>
    <row r="7" spans="1:8" x14ac:dyDescent="0.35">
      <c r="A7" s="8">
        <v>-95</v>
      </c>
      <c r="B7" s="8" t="s">
        <v>67</v>
      </c>
      <c r="C7" s="8">
        <v>8.6</v>
      </c>
      <c r="D7" s="8">
        <v>8.1</v>
      </c>
      <c r="E7" s="8">
        <v>7.3</v>
      </c>
      <c r="F7" s="8" t="s">
        <v>83</v>
      </c>
      <c r="G7" s="8" t="s">
        <v>83</v>
      </c>
      <c r="H7" s="8" t="s">
        <v>83</v>
      </c>
    </row>
    <row r="8" spans="1:8" x14ac:dyDescent="0.35">
      <c r="A8" s="8">
        <v>-93</v>
      </c>
      <c r="B8" s="8" t="s">
        <v>69</v>
      </c>
      <c r="C8" s="8">
        <v>8.6</v>
      </c>
      <c r="D8" s="8">
        <v>8.1</v>
      </c>
      <c r="E8" s="8">
        <v>7.3</v>
      </c>
      <c r="F8" s="8">
        <v>17.2</v>
      </c>
      <c r="G8" s="8">
        <v>16.2</v>
      </c>
      <c r="H8" s="8">
        <v>14.6</v>
      </c>
    </row>
    <row r="9" spans="1:8" x14ac:dyDescent="0.35">
      <c r="A9" s="8">
        <v>-90</v>
      </c>
      <c r="B9" s="8" t="s">
        <v>71</v>
      </c>
      <c r="C9" s="8">
        <v>17.2</v>
      </c>
      <c r="D9" s="8">
        <v>16.3</v>
      </c>
      <c r="E9" s="8">
        <v>14.6</v>
      </c>
      <c r="F9" s="8">
        <v>34.4</v>
      </c>
      <c r="G9" s="8">
        <v>32.6</v>
      </c>
      <c r="H9" s="8">
        <v>29.2</v>
      </c>
    </row>
    <row r="10" spans="1:8" x14ac:dyDescent="0.35">
      <c r="A10" s="8">
        <v>-87</v>
      </c>
      <c r="B10" s="8" t="s">
        <v>73</v>
      </c>
      <c r="C10" s="8">
        <v>36</v>
      </c>
      <c r="D10" s="8">
        <v>34</v>
      </c>
      <c r="E10" s="8">
        <v>30.6</v>
      </c>
      <c r="F10" s="8">
        <v>72</v>
      </c>
      <c r="G10" s="8">
        <v>68</v>
      </c>
      <c r="H10" s="8">
        <v>61.2</v>
      </c>
    </row>
    <row r="11" spans="1:8" x14ac:dyDescent="0.35">
      <c r="A11" s="8">
        <v>-84</v>
      </c>
      <c r="B11" s="8" t="s">
        <v>92</v>
      </c>
      <c r="C11" s="8">
        <v>72.099999999999994</v>
      </c>
      <c r="D11" s="8">
        <v>68.099999999999994</v>
      </c>
      <c r="E11" s="8">
        <v>61.3</v>
      </c>
      <c r="F11" s="8">
        <v>144.19999999999999</v>
      </c>
      <c r="G11" s="8">
        <v>136.19999999999999</v>
      </c>
      <c r="H11" s="8">
        <v>122.6</v>
      </c>
    </row>
    <row r="12" spans="1:8" x14ac:dyDescent="0.35">
      <c r="A12" s="8">
        <v>-81</v>
      </c>
      <c r="B12" s="8">
        <v>0</v>
      </c>
      <c r="C12" s="8">
        <v>144.1</v>
      </c>
      <c r="D12" s="8">
        <v>136.1</v>
      </c>
      <c r="E12" s="8">
        <v>122.5</v>
      </c>
      <c r="F12" s="8">
        <v>288.2</v>
      </c>
      <c r="G12" s="8">
        <v>272.2</v>
      </c>
      <c r="H12" s="8">
        <v>245</v>
      </c>
    </row>
    <row r="13" spans="1:8" x14ac:dyDescent="0.35">
      <c r="A13" s="8">
        <v>-78</v>
      </c>
      <c r="B13" s="8">
        <v>1</v>
      </c>
      <c r="C13" s="8">
        <v>288.2</v>
      </c>
      <c r="D13" s="8">
        <v>272.2</v>
      </c>
      <c r="E13" s="8">
        <v>245</v>
      </c>
      <c r="F13" s="8">
        <v>576.4</v>
      </c>
      <c r="G13" s="8">
        <v>544.4</v>
      </c>
      <c r="H13" s="8">
        <v>490</v>
      </c>
    </row>
    <row r="14" spans="1:8" x14ac:dyDescent="0.35">
      <c r="A14" s="8">
        <v>-76.5</v>
      </c>
      <c r="B14" s="8">
        <v>17</v>
      </c>
      <c r="C14" s="8">
        <v>384.3</v>
      </c>
      <c r="D14" s="8">
        <v>362.9</v>
      </c>
      <c r="E14" s="8">
        <v>326.60000000000002</v>
      </c>
      <c r="F14" s="8">
        <v>768.6</v>
      </c>
      <c r="G14" s="8">
        <v>725.8</v>
      </c>
      <c r="H14" s="8">
        <v>653.20000000000005</v>
      </c>
    </row>
    <row r="15" spans="1:8" x14ac:dyDescent="0.35">
      <c r="A15" s="8">
        <v>-75</v>
      </c>
      <c r="B15" s="8">
        <v>2</v>
      </c>
      <c r="C15" s="8">
        <v>432.4</v>
      </c>
      <c r="D15" s="8">
        <v>408.3</v>
      </c>
      <c r="E15" s="8">
        <v>367.5</v>
      </c>
      <c r="F15" s="8">
        <v>864.8</v>
      </c>
      <c r="G15" s="8">
        <v>816.6</v>
      </c>
      <c r="H15" s="8">
        <v>735</v>
      </c>
    </row>
    <row r="16" spans="1:8" x14ac:dyDescent="0.35">
      <c r="A16" s="8">
        <v>-72</v>
      </c>
      <c r="B16" s="8">
        <v>3</v>
      </c>
      <c r="C16" s="8">
        <v>576.5</v>
      </c>
      <c r="D16" s="8">
        <v>544.4</v>
      </c>
      <c r="E16" s="8">
        <v>490</v>
      </c>
      <c r="F16" s="8">
        <v>1153</v>
      </c>
      <c r="G16" s="8">
        <v>1088.8</v>
      </c>
      <c r="H16" s="8">
        <v>980</v>
      </c>
    </row>
    <row r="17" spans="1:8" x14ac:dyDescent="0.35">
      <c r="A17" s="8">
        <v>-70</v>
      </c>
      <c r="B17" s="8">
        <v>19</v>
      </c>
      <c r="C17" s="8">
        <v>768.6</v>
      </c>
      <c r="D17" s="8">
        <v>725.9</v>
      </c>
      <c r="E17" s="8">
        <v>653.29999999999995</v>
      </c>
      <c r="F17" s="8">
        <v>1537.2</v>
      </c>
      <c r="G17" s="8">
        <v>1451.8</v>
      </c>
      <c r="H17" s="8">
        <v>1306.5999999999999</v>
      </c>
    </row>
    <row r="18" spans="1:8" x14ac:dyDescent="0.35">
      <c r="A18" s="8">
        <v>-69</v>
      </c>
      <c r="B18" s="8">
        <v>4</v>
      </c>
      <c r="C18" s="8">
        <v>864.7</v>
      </c>
      <c r="D18" s="8">
        <v>816.7</v>
      </c>
      <c r="E18" s="8">
        <v>735</v>
      </c>
      <c r="F18" s="8">
        <v>1729.4</v>
      </c>
      <c r="G18" s="8">
        <v>1633.4</v>
      </c>
      <c r="H18" s="8">
        <v>1470</v>
      </c>
    </row>
    <row r="19" spans="1:8" x14ac:dyDescent="0.35">
      <c r="A19" s="8">
        <v>-67</v>
      </c>
      <c r="B19" s="8">
        <v>20</v>
      </c>
      <c r="C19" s="8">
        <v>960.7</v>
      </c>
      <c r="D19" s="8">
        <v>907.4</v>
      </c>
      <c r="E19" s="8">
        <v>816.6</v>
      </c>
      <c r="F19" s="8">
        <v>1921.4</v>
      </c>
      <c r="G19" s="8">
        <v>1814.8</v>
      </c>
      <c r="H19" s="8">
        <v>1633.2</v>
      </c>
    </row>
    <row r="20" spans="1:8" x14ac:dyDescent="0.35">
      <c r="A20" s="8">
        <v>-64.5</v>
      </c>
      <c r="B20" s="8">
        <v>5</v>
      </c>
      <c r="C20" s="8">
        <v>1152.9000000000001</v>
      </c>
      <c r="D20" s="8">
        <v>1088.9000000000001</v>
      </c>
      <c r="E20" s="8">
        <v>980</v>
      </c>
      <c r="F20" s="8">
        <v>2305.8000000000002</v>
      </c>
      <c r="G20" s="8">
        <v>2177.8000000000002</v>
      </c>
      <c r="H20" s="8">
        <v>1960</v>
      </c>
    </row>
    <row r="21" spans="1:8" x14ac:dyDescent="0.35">
      <c r="A21" s="8">
        <v>-62.5</v>
      </c>
      <c r="B21" s="8">
        <v>6</v>
      </c>
      <c r="C21" s="8">
        <v>1297.0999999999999</v>
      </c>
      <c r="D21" s="8">
        <v>1225</v>
      </c>
      <c r="E21" s="8">
        <v>1102.5</v>
      </c>
      <c r="F21" s="8">
        <v>2594.1999999999998</v>
      </c>
      <c r="G21" s="8">
        <v>2450</v>
      </c>
      <c r="H21" s="8">
        <v>2205</v>
      </c>
    </row>
    <row r="22" spans="1:8" x14ac:dyDescent="0.35">
      <c r="A22" s="8">
        <v>-61</v>
      </c>
      <c r="B22" s="8">
        <v>7</v>
      </c>
      <c r="C22" s="8">
        <v>1441.2</v>
      </c>
      <c r="D22" s="8">
        <v>1361.1</v>
      </c>
      <c r="E22" s="8">
        <v>1225</v>
      </c>
      <c r="F22" s="8">
        <v>2882.4</v>
      </c>
      <c r="G22" s="8">
        <v>2722.2</v>
      </c>
      <c r="H22" s="8">
        <v>2450</v>
      </c>
    </row>
    <row r="23" spans="1:8" x14ac:dyDescent="0.35">
      <c r="A23" s="8">
        <v>-59</v>
      </c>
      <c r="B23" s="8">
        <v>23</v>
      </c>
      <c r="C23" s="8">
        <v>1537.2</v>
      </c>
      <c r="D23" s="8">
        <v>1451.8</v>
      </c>
      <c r="E23" s="8">
        <v>1306.5999999999999</v>
      </c>
      <c r="F23" s="8">
        <v>3074.4</v>
      </c>
      <c r="G23" s="8">
        <v>2903.6</v>
      </c>
      <c r="H23" s="8">
        <v>2613.1999999999998</v>
      </c>
    </row>
    <row r="24" spans="1:8" x14ac:dyDescent="0.35">
      <c r="A24" s="8">
        <v>-57</v>
      </c>
      <c r="B24" s="8">
        <v>8</v>
      </c>
      <c r="C24" s="8">
        <v>1729.4</v>
      </c>
      <c r="D24" s="8">
        <v>1633.3</v>
      </c>
      <c r="E24" s="8">
        <v>1470</v>
      </c>
      <c r="F24" s="8">
        <v>3458.8</v>
      </c>
      <c r="G24" s="8">
        <v>3266.6</v>
      </c>
      <c r="H24" s="8">
        <v>2940</v>
      </c>
    </row>
    <row r="25" spans="1:8" x14ac:dyDescent="0.35">
      <c r="A25" s="8">
        <v>-55</v>
      </c>
      <c r="B25" s="8">
        <v>9</v>
      </c>
      <c r="C25" s="8">
        <v>1921.5</v>
      </c>
      <c r="D25" s="8">
        <v>1814.8</v>
      </c>
      <c r="E25" s="8">
        <v>1633.3</v>
      </c>
      <c r="F25" s="8">
        <v>3843</v>
      </c>
      <c r="G25" s="8">
        <v>3629.6</v>
      </c>
      <c r="H25" s="8">
        <v>3266.6</v>
      </c>
    </row>
    <row r="26" spans="1:8" x14ac:dyDescent="0.35">
      <c r="A26" s="8">
        <v>-50.5</v>
      </c>
      <c r="B26" s="8">
        <v>10</v>
      </c>
      <c r="C26" s="8">
        <v>2161.8000000000002</v>
      </c>
      <c r="D26" s="8">
        <v>2041.7</v>
      </c>
      <c r="E26" s="8">
        <v>1837.5</v>
      </c>
      <c r="F26" s="8">
        <v>4323.6000000000004</v>
      </c>
      <c r="G26" s="8">
        <v>4083.4</v>
      </c>
      <c r="H26" s="8">
        <v>3675</v>
      </c>
    </row>
    <row r="27" spans="1:8" x14ac:dyDescent="0.35">
      <c r="A27" s="8">
        <v>-47.5</v>
      </c>
      <c r="B27" s="8">
        <v>11</v>
      </c>
      <c r="C27" s="8">
        <v>2401.9</v>
      </c>
      <c r="D27" s="8">
        <v>2268.5</v>
      </c>
      <c r="E27" s="8">
        <v>2041.6</v>
      </c>
      <c r="F27" s="8">
        <v>4803.8</v>
      </c>
      <c r="G27" s="8">
        <v>4537</v>
      </c>
      <c r="H27" s="8">
        <v>4083.2</v>
      </c>
    </row>
    <row r="28" spans="1:8" x14ac:dyDescent="0.35">
      <c r="A28" s="8">
        <v>-43</v>
      </c>
      <c r="B28" s="8">
        <v>12</v>
      </c>
      <c r="C28" s="8">
        <v>2594.1</v>
      </c>
      <c r="D28" s="8">
        <v>2450</v>
      </c>
      <c r="E28" s="8">
        <v>2205</v>
      </c>
      <c r="F28" s="8">
        <v>5188.2</v>
      </c>
      <c r="G28" s="8">
        <v>4900</v>
      </c>
      <c r="H28" s="8">
        <v>4410</v>
      </c>
    </row>
    <row r="29" spans="1:8" x14ac:dyDescent="0.35">
      <c r="A29" s="8">
        <v>-40</v>
      </c>
      <c r="B29" s="8">
        <v>13</v>
      </c>
      <c r="C29" s="8">
        <v>2882.4</v>
      </c>
      <c r="D29" s="8">
        <v>2722.2</v>
      </c>
      <c r="E29" s="8">
        <v>2450</v>
      </c>
      <c r="F29" s="8">
        <v>5764.8</v>
      </c>
      <c r="G29" s="8">
        <v>5444.4</v>
      </c>
      <c r="H29" s="8">
        <v>4900</v>
      </c>
    </row>
  </sheetData>
  <mergeCells count="2">
    <mergeCell ref="C5:E5"/>
    <mergeCell ref="F5:H5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Overview</vt:lpstr>
      <vt:lpstr>Legacy 11g-11a-11bg</vt:lpstr>
      <vt:lpstr>HT 20MHz</vt:lpstr>
      <vt:lpstr>HT 40MHz</vt:lpstr>
      <vt:lpstr>VHT 20MHz</vt:lpstr>
      <vt:lpstr>VHT 40MHz</vt:lpstr>
      <vt:lpstr>VHT 80MHz</vt:lpstr>
      <vt:lpstr>VHT 160MHz</vt:lpstr>
      <vt:lpstr>HE 20MHz</vt:lpstr>
      <vt:lpstr>HE 40MHz</vt:lpstr>
      <vt:lpstr>HE 80MHz</vt:lpstr>
      <vt:lpstr>HE 160MHz</vt:lpstr>
      <vt:lpstr>EHT 20MHz</vt:lpstr>
      <vt:lpstr>EHT 40MHz</vt:lpstr>
      <vt:lpstr>EHT 80MHz</vt:lpstr>
      <vt:lpstr>EHT 160MHz</vt:lpstr>
      <vt:lpstr>EHT 320MHz</vt:lpstr>
      <vt:lpstr>UHR 20MHz</vt:lpstr>
      <vt:lpstr>UHR 40MHz</vt:lpstr>
      <vt:lpstr>UHR 80MHz</vt:lpstr>
      <vt:lpstr>UHR 160MHz</vt:lpstr>
      <vt:lpstr>UHR 320MHz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Isack, Efrat</cp:lastModifiedBy>
  <dcterms:created xsi:type="dcterms:W3CDTF">2026-08-20T11:06:59Z</dcterms:created>
  <dcterms:modified xsi:type="dcterms:W3CDTF">2026-09-01T13:02:09Z</dcterms:modified>
</cp:coreProperties>
</file>