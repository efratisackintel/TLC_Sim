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efrat_isack_intel_com/Documents/Desktop/Efrat/TLC_Sim/Results/"/>
    </mc:Choice>
  </mc:AlternateContent>
  <xr:revisionPtr revIDLastSave="8" documentId="11_9A66891A20750EC7D35C9AE82F694154B708C8C6" xr6:coauthVersionLast="47" xr6:coauthVersionMax="47" xr10:uidLastSave="{D072D667-2DF2-40D8-9B49-4D5DB1AD3D2F}"/>
  <bookViews>
    <workbookView xWindow="-110" yWindow="-110" windowWidth="25820" windowHeight="13900" activeTab="4" xr2:uid="{00000000-000D-0000-FFFF-FFFF00000000}"/>
  </bookViews>
  <sheets>
    <sheet name="Charts 20MHz" sheetId="3" r:id="rId1"/>
    <sheet name="Charts 40MHz" sheetId="6" r:id="rId2"/>
    <sheet name="Charts 80MHz" sheetId="9" r:id="rId3"/>
    <sheet name="Charts 160MHz" sheetId="12" r:id="rId4"/>
    <sheet name="Charts 320MHz" sheetId="15" r:id="rId5"/>
    <sheet name="RSSI to SNR" sheetId="16" r:id="rId6"/>
    <sheet name="TVA 20MHz" sheetId="1" r:id="rId7"/>
    <sheet name="Data 20MHz" sheetId="2" state="hidden" r:id="rId8"/>
    <sheet name="TVA 40MHz" sheetId="4" r:id="rId9"/>
    <sheet name="Data 40MHz" sheetId="5" state="hidden" r:id="rId10"/>
    <sheet name="TVA 80MHz" sheetId="7" r:id="rId11"/>
    <sheet name="Data 80MHz" sheetId="8" state="hidden" r:id="rId12"/>
    <sheet name="TVA 160MHz" sheetId="10" r:id="rId13"/>
    <sheet name="Data 160MHz" sheetId="11" state="hidden" r:id="rId14"/>
    <sheet name="TVA 320MHz" sheetId="13" r:id="rId15"/>
    <sheet name="Data 320MHz" sheetId="14" state="hidden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6" l="1"/>
  <c r="F9" i="16"/>
  <c r="D9" i="16"/>
  <c r="H8" i="16"/>
  <c r="F8" i="16"/>
  <c r="D8" i="16"/>
  <c r="H7" i="16"/>
  <c r="F7" i="16"/>
  <c r="D7" i="16"/>
  <c r="H6" i="16"/>
  <c r="D6" i="16"/>
  <c r="F6" i="16" s="1"/>
  <c r="H5" i="16"/>
  <c r="F5" i="16"/>
  <c r="D5" i="16"/>
</calcChain>
</file>

<file path=xl/sharedStrings.xml><?xml version="1.0" encoding="utf-8"?>
<sst xmlns="http://schemas.openxmlformats.org/spreadsheetml/2006/main" count="875" uniqueCount="71">
  <si>
    <t>20 MHz  |  Lab log source: C:\Users\eisack\OneDrive - Intel Corporation\Desktop\Efrat\TLC_Sim\PERModel\RefTVA\tva_11be_20mhz_uhbch69_tx_scd.json    |    RSSI→SNR offset (MCS-knee aligned): 93.0 dB</t>
  </si>
  <si>
    <t>#</t>
  </si>
  <si>
    <t>SNR (dB)</t>
  </si>
  <si>
    <t>avg tpt (Mbps)</t>
  </si>
  <si>
    <t>PR MCS</t>
  </si>
  <si>
    <t>PR BW</t>
  </si>
  <si>
    <t>PR streams</t>
  </si>
  <si>
    <t>PR GI</t>
  </si>
  <si>
    <t>PR SR</t>
  </si>
  <si>
    <t>PR %time</t>
  </si>
  <si>
    <t>genie tpt (Mbps)</t>
  </si>
  <si>
    <t>genie MCS</t>
  </si>
  <si>
    <t>genie BW</t>
  </si>
  <si>
    <t>genie streams</t>
  </si>
  <si>
    <t>genie GI</t>
  </si>
  <si>
    <t>log RSSI</t>
  </si>
  <si>
    <t>log tpt (Mbps)</t>
  </si>
  <si>
    <t>log MCS</t>
  </si>
  <si>
    <t>log BW</t>
  </si>
  <si>
    <t>log streams</t>
  </si>
  <si>
    <t>log GI</t>
  </si>
  <si>
    <t>log SR</t>
  </si>
  <si>
    <t>MIMO</t>
  </si>
  <si>
    <t>0.8µs</t>
  </si>
  <si>
    <t>100%</t>
  </si>
  <si>
    <t>99%</t>
  </si>
  <si>
    <t>98%</t>
  </si>
  <si>
    <t>90%</t>
  </si>
  <si>
    <t>97%</t>
  </si>
  <si>
    <t>93%</t>
  </si>
  <si>
    <t>53%</t>
  </si>
  <si>
    <t>31%</t>
  </si>
  <si>
    <t>SISO</t>
  </si>
  <si>
    <t>96%</t>
  </si>
  <si>
    <t>95%</t>
  </si>
  <si>
    <t>3.2µs</t>
  </si>
  <si>
    <t>SNR</t>
  </si>
  <si>
    <t>sim tpt</t>
  </si>
  <si>
    <t>genie tpt</t>
  </si>
  <si>
    <t>lab tpt</t>
  </si>
  <si>
    <t>sim MCS</t>
  </si>
  <si>
    <t>lab MCS</t>
  </si>
  <si>
    <t>sim BW</t>
  </si>
  <si>
    <t>lab BW</t>
  </si>
  <si>
    <t>sim GI</t>
  </si>
  <si>
    <t>lab GI</t>
  </si>
  <si>
    <t>sim streams</t>
  </si>
  <si>
    <t>lab streams</t>
  </si>
  <si>
    <t>40 MHz  |  Lab log source: C:\Users\eisack\OneDrive - Intel Corporation\Desktop\Efrat\TLC_Sim\PERModel\RefTVA\tva_11be_40mhz_uhbch69_tx_scd.json    |    RSSI→SNR offset (MCS-knee aligned): 92.0 dB</t>
  </si>
  <si>
    <t>88%</t>
  </si>
  <si>
    <t>76%</t>
  </si>
  <si>
    <t>80 MHz  |  Lab log source: C:\Users\eisack\OneDrive - Intel Corporation\Desktop\Efrat\TLC_Sim\PERModel\RefTVA\tva_11be_80mhz_uhbch69_tx_scd.json    |    RSSI→SNR offset (MCS-knee aligned): 93.9 dB</t>
  </si>
  <si>
    <t>91%</t>
  </si>
  <si>
    <t>86%</t>
  </si>
  <si>
    <t>3%</t>
  </si>
  <si>
    <t>160 MHz  |  Lab log source: C:\Users\eisack\OneDrive - Intel Corporation\Desktop\Efrat\TLC_Sim\PERModel\RefTVA\tva_11be_160mhz_uhbch69_tx_scd.json    |    RSSI→SNR offset (MCS-knee aligned): 89.0 dB</t>
  </si>
  <si>
    <t>94%</t>
  </si>
  <si>
    <t>92%</t>
  </si>
  <si>
    <t>73%</t>
  </si>
  <si>
    <t>74%</t>
  </si>
  <si>
    <t>320 MHz  |  Lab log source: C:\Users\eisack\OneDrive - Intel Corporation\Desktop\Efrat\TLC_Sim\PERModel\RefTVA\tva_11be_320mhz_uhbch5_tx_scd.json    |    RSSI→SNR offset (MCS-knee aligned): 78.0 dB</t>
  </si>
  <si>
    <t>SNR → RSSI — worked example (EHT, 0.8µs GI, MCS13)</t>
  </si>
  <si>
    <t>Noise Floor = −174 + 10·log10(BW×10^6) + Noise Figure + RSSI implementation Margin ; Estimated RSSI = Noise Floor + required SNR ; RSSI to SNR Diff = −Noise Floor (add to RSSI to get SNR)</t>
  </si>
  <si>
    <t>Noise figure (dB)</t>
  </si>
  <si>
    <t>RSSI implementation Margin (dB)</t>
  </si>
  <si>
    <t>BW (MHz)</t>
  </si>
  <si>
    <t>Noise Floor (dBm)</t>
  </si>
  <si>
    <t>required SNR (dB)</t>
  </si>
  <si>
    <t>Estimated RSSI (dBm)</t>
  </si>
  <si>
    <t>RSSI from model (dBm)</t>
  </si>
  <si>
    <t>RSSI to SNR Diff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</si>
</sst>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1"/>
      <color rgb="FF1F6B45"/>
      <name val="Calibri"/>
    </font>
    <font>
      <b/>
      <sz val="11"/>
      <color rgb="FF334155"/>
      <name val="Calibri"/>
    </font>
    <font>
      <b/>
      <sz val="11"/>
      <color rgb="FF0B4F86"/>
      <name val="Calibri"/>
    </font>
    <font>
      <b/>
      <sz val="11"/>
      <color rgb="FF5B21B6"/>
      <name val="Calibri"/>
    </font>
    <font>
      <b/>
      <sz val="11"/>
      <color rgb="FF1F6B45"/>
      <name val="Calibri"/>
    </font>
    <font>
      <sz val="11"/>
      <color rgb="FF334155"/>
      <name val="Calibri"/>
    </font>
    <font>
      <sz val="11"/>
      <color rgb="FF0B4F86"/>
      <name val="Calibri"/>
    </font>
    <font>
      <sz val="11"/>
      <color rgb="FF5B21B6"/>
      <name val="Calibri"/>
    </font>
    <font>
      <sz val="11"/>
      <color rgb="FF1F6B45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BFDCF3"/>
      </patternFill>
    </fill>
    <fill>
      <patternFill patternType="solid">
        <fgColor rgb="FFD9C9F5"/>
      </patternFill>
    </fill>
    <fill>
      <patternFill patternType="solid">
        <fgColor rgb="FFC7E4D3"/>
      </patternFill>
    </fill>
    <fill>
      <patternFill patternType="solid">
        <fgColor rgb="FFE3F0FB"/>
      </patternFill>
    </fill>
    <fill>
      <patternFill patternType="solid">
        <fgColor rgb="FFEFE7FB"/>
      </patternFill>
    </fill>
    <fill>
      <patternFill patternType="solid">
        <fgColor rgb="FFE2F1E9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 MHz — 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20MHz'!$B$1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20MHz'!$B$2:$B$16</c:f>
              <c:numCache>
                <c:formatCode>General</c:formatCode>
                <c:ptCount val="15"/>
                <c:pt idx="0">
                  <c:v>274</c:v>
                </c:pt>
                <c:pt idx="1">
                  <c:v>274</c:v>
                </c:pt>
                <c:pt idx="2">
                  <c:v>274</c:v>
                </c:pt>
                <c:pt idx="3">
                  <c:v>247</c:v>
                </c:pt>
                <c:pt idx="4">
                  <c:v>242</c:v>
                </c:pt>
                <c:pt idx="5">
                  <c:v>218</c:v>
                </c:pt>
                <c:pt idx="6">
                  <c:v>194</c:v>
                </c:pt>
                <c:pt idx="7">
                  <c:v>173</c:v>
                </c:pt>
                <c:pt idx="8">
                  <c:v>145</c:v>
                </c:pt>
                <c:pt idx="9">
                  <c:v>120</c:v>
                </c:pt>
                <c:pt idx="10">
                  <c:v>87</c:v>
                </c:pt>
                <c:pt idx="11">
                  <c:v>57</c:v>
                </c:pt>
                <c:pt idx="12">
                  <c:v>46</c:v>
                </c:pt>
                <c:pt idx="13">
                  <c:v>22</c:v>
                </c:pt>
                <c:pt idx="1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3-4E56-9699-DC6E6A3C0437}"/>
            </c:ext>
          </c:extLst>
        </c:ser>
        <c:ser>
          <c:idx val="1"/>
          <c:order val="1"/>
          <c:tx>
            <c:strRef>
              <c:f>'Data 20MHz'!$C$1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20MHz'!$C$2:$C$16</c:f>
              <c:numCache>
                <c:formatCode>General</c:formatCode>
                <c:ptCount val="15"/>
                <c:pt idx="0">
                  <c:v>275</c:v>
                </c:pt>
                <c:pt idx="1">
                  <c:v>274</c:v>
                </c:pt>
                <c:pt idx="2">
                  <c:v>274</c:v>
                </c:pt>
                <c:pt idx="3">
                  <c:v>248</c:v>
                </c:pt>
                <c:pt idx="4">
                  <c:v>244</c:v>
                </c:pt>
                <c:pt idx="5">
                  <c:v>219</c:v>
                </c:pt>
                <c:pt idx="6">
                  <c:v>195</c:v>
                </c:pt>
                <c:pt idx="7">
                  <c:v>175</c:v>
                </c:pt>
                <c:pt idx="8">
                  <c:v>146</c:v>
                </c:pt>
                <c:pt idx="9">
                  <c:v>122</c:v>
                </c:pt>
                <c:pt idx="10">
                  <c:v>88</c:v>
                </c:pt>
                <c:pt idx="11">
                  <c:v>58</c:v>
                </c:pt>
                <c:pt idx="12">
                  <c:v>51</c:v>
                </c:pt>
                <c:pt idx="13">
                  <c:v>29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3-4E56-9699-DC6E6A3C0437}"/>
            </c:ext>
          </c:extLst>
        </c:ser>
        <c:ser>
          <c:idx val="2"/>
          <c:order val="2"/>
          <c:tx>
            <c:strRef>
              <c:f>'Data 20MHz'!$D$1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20MHz'!$D$2:$D$16</c:f>
              <c:numCache>
                <c:formatCode>General</c:formatCode>
                <c:ptCount val="15"/>
                <c:pt idx="0">
                  <c:v>285</c:v>
                </c:pt>
                <c:pt idx="1">
                  <c:v>285</c:v>
                </c:pt>
                <c:pt idx="2">
                  <c:v>283</c:v>
                </c:pt>
                <c:pt idx="3">
                  <c:v>253</c:v>
                </c:pt>
                <c:pt idx="4">
                  <c:v>235</c:v>
                </c:pt>
                <c:pt idx="5">
                  <c:v>209</c:v>
                </c:pt>
                <c:pt idx="6">
                  <c:v>187</c:v>
                </c:pt>
                <c:pt idx="7">
                  <c:v>168</c:v>
                </c:pt>
                <c:pt idx="8">
                  <c:v>141</c:v>
                </c:pt>
                <c:pt idx="9">
                  <c:v>111</c:v>
                </c:pt>
                <c:pt idx="10">
                  <c:v>83</c:v>
                </c:pt>
                <c:pt idx="11">
                  <c:v>55</c:v>
                </c:pt>
                <c:pt idx="12">
                  <c:v>41</c:v>
                </c:pt>
                <c:pt idx="13">
                  <c:v>19</c:v>
                </c:pt>
                <c:pt idx="1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03-4E56-9699-DC6E6A3C0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 MHz — 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20MHz'!$E$1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20MHz'!$E$2:$E$16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0-4CA5-A88D-CFA5172BBFC1}"/>
            </c:ext>
          </c:extLst>
        </c:ser>
        <c:ser>
          <c:idx val="1"/>
          <c:order val="1"/>
          <c:tx>
            <c:strRef>
              <c:f>'Data 20MHz'!$F$1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20MHz'!$F$2:$F$16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0-4CA5-A88D-CFA5172BBFC1}"/>
            </c:ext>
          </c:extLst>
        </c:ser>
        <c:ser>
          <c:idx val="2"/>
          <c:order val="2"/>
          <c:tx>
            <c:strRef>
              <c:f>'Data 20MHz'!$G$1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20MHz'!$G$2:$G$16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C0-4CA5-A88D-CFA5172B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 MHz — 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20MHz'!$H$1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20MHz'!$H$2:$H$16</c:f>
              <c:numCache>
                <c:formatCode>General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A-4329-8E51-B04DE8DDF22B}"/>
            </c:ext>
          </c:extLst>
        </c:ser>
        <c:ser>
          <c:idx val="1"/>
          <c:order val="1"/>
          <c:tx>
            <c:strRef>
              <c:f>'Data 20MHz'!$I$1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20MHz'!$I$2:$I$16</c:f>
              <c:numCache>
                <c:formatCode>General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A-4329-8E51-B04DE8DDF22B}"/>
            </c:ext>
          </c:extLst>
        </c:ser>
        <c:ser>
          <c:idx val="2"/>
          <c:order val="2"/>
          <c:tx>
            <c:strRef>
              <c:f>'Data 20MHz'!$J$1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20MHz'!$J$2:$J$16</c:f>
              <c:numCache>
                <c:formatCode>General</c:formatCode>
                <c:ptCount val="1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A-4329-8E51-B04DE8DD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 MHz — 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20MHz'!$K$1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20MHz'!$K$2:$K$16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A-4D56-A1AD-0C0D8CFAEB1B}"/>
            </c:ext>
          </c:extLst>
        </c:ser>
        <c:ser>
          <c:idx val="1"/>
          <c:order val="1"/>
          <c:tx>
            <c:strRef>
              <c:f>'Data 20MHz'!$L$1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20MHz'!$L$2:$L$16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A-4D56-A1AD-0C0D8CFAEB1B}"/>
            </c:ext>
          </c:extLst>
        </c:ser>
        <c:ser>
          <c:idx val="2"/>
          <c:order val="2"/>
          <c:tx>
            <c:strRef>
              <c:f>'Data 20MHz'!$M$1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20MHz'!$M$2:$M$16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DA-4D56-A1AD-0C0D8CFA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 MHz — 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20MHz'!$N$1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20MHz'!$N$2:$N$16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0-4F7D-9647-D1D4D836E81E}"/>
            </c:ext>
          </c:extLst>
        </c:ser>
        <c:ser>
          <c:idx val="1"/>
          <c:order val="1"/>
          <c:tx>
            <c:strRef>
              <c:f>'Data 20MHz'!$O$1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20MHz'!$O$2:$O$16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0-4F7D-9647-D1D4D836E81E}"/>
            </c:ext>
          </c:extLst>
        </c:ser>
        <c:ser>
          <c:idx val="2"/>
          <c:order val="2"/>
          <c:tx>
            <c:strRef>
              <c:f>'Data 20MHz'!$P$1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20MHz'!$P$2:$P$16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0-4F7D-9647-D1D4D836E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40 MHz — 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40MHz'!$B$1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40MHz'!$B$2:$B$16</c:f>
              <c:numCache>
                <c:formatCode>General</c:formatCode>
                <c:ptCount val="15"/>
                <c:pt idx="0">
                  <c:v>576</c:v>
                </c:pt>
                <c:pt idx="1">
                  <c:v>577</c:v>
                </c:pt>
                <c:pt idx="2">
                  <c:v>576</c:v>
                </c:pt>
                <c:pt idx="3">
                  <c:v>520</c:v>
                </c:pt>
                <c:pt idx="4">
                  <c:v>482</c:v>
                </c:pt>
                <c:pt idx="5">
                  <c:v>432</c:v>
                </c:pt>
                <c:pt idx="6">
                  <c:v>387</c:v>
                </c:pt>
                <c:pt idx="7">
                  <c:v>346</c:v>
                </c:pt>
                <c:pt idx="8">
                  <c:v>291</c:v>
                </c:pt>
                <c:pt idx="9">
                  <c:v>230</c:v>
                </c:pt>
                <c:pt idx="10">
                  <c:v>174</c:v>
                </c:pt>
                <c:pt idx="11">
                  <c:v>116</c:v>
                </c:pt>
                <c:pt idx="12">
                  <c:v>109</c:v>
                </c:pt>
                <c:pt idx="13">
                  <c:v>58</c:v>
                </c:pt>
                <c:pt idx="1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5-4A2F-A24C-124888677DB2}"/>
            </c:ext>
          </c:extLst>
        </c:ser>
        <c:ser>
          <c:idx val="1"/>
          <c:order val="1"/>
          <c:tx>
            <c:strRef>
              <c:f>'Data 40MHz'!$C$1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40MHz'!$C$2:$C$16</c:f>
              <c:numCache>
                <c:formatCode>General</c:formatCode>
                <c:ptCount val="15"/>
                <c:pt idx="0">
                  <c:v>578</c:v>
                </c:pt>
                <c:pt idx="1">
                  <c:v>578</c:v>
                </c:pt>
                <c:pt idx="2">
                  <c:v>578</c:v>
                </c:pt>
                <c:pt idx="3">
                  <c:v>523</c:v>
                </c:pt>
                <c:pt idx="4">
                  <c:v>485</c:v>
                </c:pt>
                <c:pt idx="5">
                  <c:v>435</c:v>
                </c:pt>
                <c:pt idx="6">
                  <c:v>390</c:v>
                </c:pt>
                <c:pt idx="7">
                  <c:v>348</c:v>
                </c:pt>
                <c:pt idx="8">
                  <c:v>293</c:v>
                </c:pt>
                <c:pt idx="9">
                  <c:v>234</c:v>
                </c:pt>
                <c:pt idx="10">
                  <c:v>176</c:v>
                </c:pt>
                <c:pt idx="11">
                  <c:v>117</c:v>
                </c:pt>
                <c:pt idx="12">
                  <c:v>111</c:v>
                </c:pt>
                <c:pt idx="13">
                  <c:v>58</c:v>
                </c:pt>
                <c:pt idx="1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5-4A2F-A24C-124888677DB2}"/>
            </c:ext>
          </c:extLst>
        </c:ser>
        <c:ser>
          <c:idx val="2"/>
          <c:order val="2"/>
          <c:tx>
            <c:strRef>
              <c:f>'Data 40MHz'!$D$1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40MHz'!$D$2:$D$16</c:f>
              <c:numCache>
                <c:formatCode>General</c:formatCode>
                <c:ptCount val="15"/>
                <c:pt idx="0">
                  <c:v>573</c:v>
                </c:pt>
                <c:pt idx="1">
                  <c:v>573</c:v>
                </c:pt>
                <c:pt idx="2">
                  <c:v>569</c:v>
                </c:pt>
                <c:pt idx="3">
                  <c:v>510</c:v>
                </c:pt>
                <c:pt idx="4">
                  <c:v>473</c:v>
                </c:pt>
                <c:pt idx="5">
                  <c:v>420</c:v>
                </c:pt>
                <c:pt idx="6">
                  <c:v>377</c:v>
                </c:pt>
                <c:pt idx="7">
                  <c:v>338</c:v>
                </c:pt>
                <c:pt idx="8">
                  <c:v>283</c:v>
                </c:pt>
                <c:pt idx="9">
                  <c:v>222</c:v>
                </c:pt>
                <c:pt idx="10">
                  <c:v>165</c:v>
                </c:pt>
                <c:pt idx="11">
                  <c:v>111</c:v>
                </c:pt>
                <c:pt idx="12">
                  <c:v>83</c:v>
                </c:pt>
                <c:pt idx="13">
                  <c:v>53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5-4A2F-A24C-12488867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40 MHz — 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40MHz'!$E$1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40MHz'!$E$2:$E$16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0-42BC-B04F-F7B179077824}"/>
            </c:ext>
          </c:extLst>
        </c:ser>
        <c:ser>
          <c:idx val="1"/>
          <c:order val="1"/>
          <c:tx>
            <c:strRef>
              <c:f>'Data 40MHz'!$F$1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40MHz'!$F$2:$F$16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0-42BC-B04F-F7B179077824}"/>
            </c:ext>
          </c:extLst>
        </c:ser>
        <c:ser>
          <c:idx val="2"/>
          <c:order val="2"/>
          <c:tx>
            <c:strRef>
              <c:f>'Data 40MHz'!$G$1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40MHz'!$G$2:$G$16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0-42BC-B04F-F7B17907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40 MHz — 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40MHz'!$H$1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40MHz'!$H$2:$H$16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C-47C2-BD26-5C159A41A472}"/>
            </c:ext>
          </c:extLst>
        </c:ser>
        <c:ser>
          <c:idx val="1"/>
          <c:order val="1"/>
          <c:tx>
            <c:strRef>
              <c:f>'Data 40MHz'!$I$1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40MHz'!$I$2:$I$16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C-47C2-BD26-5C159A41A472}"/>
            </c:ext>
          </c:extLst>
        </c:ser>
        <c:ser>
          <c:idx val="2"/>
          <c:order val="2"/>
          <c:tx>
            <c:strRef>
              <c:f>'Data 40MHz'!$J$1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40MHz'!$J$2:$J$16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5C-47C2-BD26-5C159A41A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40 MHz — 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40MHz'!$K$1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40MHz'!$K$2:$K$16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F-4841-A04A-BAA39AA134FD}"/>
            </c:ext>
          </c:extLst>
        </c:ser>
        <c:ser>
          <c:idx val="1"/>
          <c:order val="1"/>
          <c:tx>
            <c:strRef>
              <c:f>'Data 40MHz'!$L$1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40MHz'!$L$2:$L$16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4F-4841-A04A-BAA39AA134FD}"/>
            </c:ext>
          </c:extLst>
        </c:ser>
        <c:ser>
          <c:idx val="2"/>
          <c:order val="2"/>
          <c:tx>
            <c:strRef>
              <c:f>'Data 40MHz'!$M$1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40MHz'!$M$2:$M$16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4F-4841-A04A-BAA39AA13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40 MHz — 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40MHz'!$N$1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40MHz'!$N$2:$N$16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8-4CC2-8BF6-959F77326A76}"/>
            </c:ext>
          </c:extLst>
        </c:ser>
        <c:ser>
          <c:idx val="1"/>
          <c:order val="1"/>
          <c:tx>
            <c:strRef>
              <c:f>'Data 40MHz'!$O$1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40MHz'!$O$2:$O$16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8-4CC2-8BF6-959F77326A76}"/>
            </c:ext>
          </c:extLst>
        </c:ser>
        <c:ser>
          <c:idx val="2"/>
          <c:order val="2"/>
          <c:tx>
            <c:strRef>
              <c:f>'Data 40MHz'!$P$1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40MHz'!$A$2:$A$16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40MHz'!$P$2:$P$16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18-4CC2-8BF6-959F77326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80 MHz — 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80MHz'!$B$1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80MHz'!$B$2:$B$16</c:f>
              <c:numCache>
                <c:formatCode>General</c:formatCode>
                <c:ptCount val="15"/>
                <c:pt idx="0">
                  <c:v>1215</c:v>
                </c:pt>
                <c:pt idx="1">
                  <c:v>1215</c:v>
                </c:pt>
                <c:pt idx="2">
                  <c:v>1213</c:v>
                </c:pt>
                <c:pt idx="3">
                  <c:v>1098</c:v>
                </c:pt>
                <c:pt idx="4">
                  <c:v>1015</c:v>
                </c:pt>
                <c:pt idx="5">
                  <c:v>877</c:v>
                </c:pt>
                <c:pt idx="6">
                  <c:v>807</c:v>
                </c:pt>
                <c:pt idx="7">
                  <c:v>670</c:v>
                </c:pt>
                <c:pt idx="8">
                  <c:v>600</c:v>
                </c:pt>
                <c:pt idx="9">
                  <c:v>488</c:v>
                </c:pt>
                <c:pt idx="10">
                  <c:v>366</c:v>
                </c:pt>
                <c:pt idx="11">
                  <c:v>243</c:v>
                </c:pt>
                <c:pt idx="12">
                  <c:v>182</c:v>
                </c:pt>
                <c:pt idx="13">
                  <c:v>121</c:v>
                </c:pt>
                <c:pt idx="1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0-4864-AFB8-B0E049559B51}"/>
            </c:ext>
          </c:extLst>
        </c:ser>
        <c:ser>
          <c:idx val="1"/>
          <c:order val="1"/>
          <c:tx>
            <c:strRef>
              <c:f>'Data 80MHz'!$C$1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80MHz'!$C$2:$C$16</c:f>
              <c:numCache>
                <c:formatCode>General</c:formatCode>
                <c:ptCount val="15"/>
                <c:pt idx="0">
                  <c:v>1217</c:v>
                </c:pt>
                <c:pt idx="1">
                  <c:v>1217</c:v>
                </c:pt>
                <c:pt idx="2">
                  <c:v>1215</c:v>
                </c:pt>
                <c:pt idx="3">
                  <c:v>1101</c:v>
                </c:pt>
                <c:pt idx="4">
                  <c:v>1019</c:v>
                </c:pt>
                <c:pt idx="5">
                  <c:v>887</c:v>
                </c:pt>
                <c:pt idx="6">
                  <c:v>810</c:v>
                </c:pt>
                <c:pt idx="7">
                  <c:v>682</c:v>
                </c:pt>
                <c:pt idx="8">
                  <c:v>603</c:v>
                </c:pt>
                <c:pt idx="9">
                  <c:v>490</c:v>
                </c:pt>
                <c:pt idx="10">
                  <c:v>368</c:v>
                </c:pt>
                <c:pt idx="11">
                  <c:v>245</c:v>
                </c:pt>
                <c:pt idx="12">
                  <c:v>184</c:v>
                </c:pt>
                <c:pt idx="13">
                  <c:v>122</c:v>
                </c:pt>
                <c:pt idx="1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0-4864-AFB8-B0E049559B51}"/>
            </c:ext>
          </c:extLst>
        </c:ser>
        <c:ser>
          <c:idx val="2"/>
          <c:order val="2"/>
          <c:tx>
            <c:strRef>
              <c:f>'Data 80MHz'!$D$1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80MHz'!$D$2:$D$16</c:f>
              <c:numCache>
                <c:formatCode>General</c:formatCode>
                <c:ptCount val="15"/>
                <c:pt idx="0">
                  <c:v>1208</c:v>
                </c:pt>
                <c:pt idx="1">
                  <c:v>1207</c:v>
                </c:pt>
                <c:pt idx="2">
                  <c:v>1178</c:v>
                </c:pt>
                <c:pt idx="3">
                  <c:v>1074</c:v>
                </c:pt>
                <c:pt idx="4">
                  <c:v>992</c:v>
                </c:pt>
                <c:pt idx="5">
                  <c:v>896</c:v>
                </c:pt>
                <c:pt idx="6">
                  <c:v>794</c:v>
                </c:pt>
                <c:pt idx="7">
                  <c:v>715</c:v>
                </c:pt>
                <c:pt idx="8">
                  <c:v>597</c:v>
                </c:pt>
                <c:pt idx="9">
                  <c:v>469</c:v>
                </c:pt>
                <c:pt idx="10">
                  <c:v>351</c:v>
                </c:pt>
                <c:pt idx="11">
                  <c:v>229</c:v>
                </c:pt>
                <c:pt idx="12">
                  <c:v>112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0-4864-AFB8-B0E04955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80 MHz — 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80MHz'!$E$1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80MHz'!$E$2:$E$16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6-41E7-9731-DF5A0C572C17}"/>
            </c:ext>
          </c:extLst>
        </c:ser>
        <c:ser>
          <c:idx val="1"/>
          <c:order val="1"/>
          <c:tx>
            <c:strRef>
              <c:f>'Data 80MHz'!$F$1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80MHz'!$F$2:$F$16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6-41E7-9731-DF5A0C572C17}"/>
            </c:ext>
          </c:extLst>
        </c:ser>
        <c:ser>
          <c:idx val="2"/>
          <c:order val="2"/>
          <c:tx>
            <c:strRef>
              <c:f>'Data 80MHz'!$G$1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80MHz'!$G$2:$G$16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6-41E7-9731-DF5A0C57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80 MHz — 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80MHz'!$H$1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80MHz'!$H$2:$H$16</c:f>
              <c:numCache>
                <c:formatCode>General</c:formatCode>
                <c:ptCount val="1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C-44DE-A69F-258CA989BD16}"/>
            </c:ext>
          </c:extLst>
        </c:ser>
        <c:ser>
          <c:idx val="1"/>
          <c:order val="1"/>
          <c:tx>
            <c:strRef>
              <c:f>'Data 80MHz'!$I$1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80MHz'!$I$2:$I$16</c:f>
              <c:numCache>
                <c:formatCode>General</c:formatCode>
                <c:ptCount val="1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C-44DE-A69F-258CA989BD16}"/>
            </c:ext>
          </c:extLst>
        </c:ser>
        <c:ser>
          <c:idx val="2"/>
          <c:order val="2"/>
          <c:tx>
            <c:strRef>
              <c:f>'Data 80MHz'!$J$1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80MHz'!$J$2:$J$16</c:f>
              <c:numCache>
                <c:formatCode>General</c:formatCode>
                <c:ptCount val="1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C-44DE-A69F-258CA989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80 MHz — 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80MHz'!$K$1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80MHz'!$K$2:$K$16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C-492B-86BF-72D866987F5A}"/>
            </c:ext>
          </c:extLst>
        </c:ser>
        <c:ser>
          <c:idx val="1"/>
          <c:order val="1"/>
          <c:tx>
            <c:strRef>
              <c:f>'Data 80MHz'!$L$1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80MHz'!$L$2:$L$16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C-492B-86BF-72D866987F5A}"/>
            </c:ext>
          </c:extLst>
        </c:ser>
        <c:ser>
          <c:idx val="2"/>
          <c:order val="2"/>
          <c:tx>
            <c:strRef>
              <c:f>'Data 80MHz'!$M$1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80MHz'!$M$2:$M$16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DC-492B-86BF-72D866987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80 MHz — 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80MHz'!$N$1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80MHz'!$N$2:$N$16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F-4EA6-A140-5F02ACE69EF3}"/>
            </c:ext>
          </c:extLst>
        </c:ser>
        <c:ser>
          <c:idx val="1"/>
          <c:order val="1"/>
          <c:tx>
            <c:strRef>
              <c:f>'Data 80MHz'!$O$1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80MHz'!$O$2:$O$16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F-4EA6-A140-5F02ACE69EF3}"/>
            </c:ext>
          </c:extLst>
        </c:ser>
        <c:ser>
          <c:idx val="2"/>
          <c:order val="2"/>
          <c:tx>
            <c:strRef>
              <c:f>'Data 80MHz'!$P$1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80MHz'!$A$2:$A$16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80MHz'!$P$2:$P$16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F-4EA6-A140-5F02ACE69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160 MHz — 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160MHz'!$B$1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160MHz'!$B$2:$B$16</c:f>
              <c:numCache>
                <c:formatCode>General</c:formatCode>
                <c:ptCount val="15"/>
                <c:pt idx="0">
                  <c:v>2561</c:v>
                </c:pt>
                <c:pt idx="1">
                  <c:v>2561</c:v>
                </c:pt>
                <c:pt idx="2">
                  <c:v>2561</c:v>
                </c:pt>
                <c:pt idx="3">
                  <c:v>2303</c:v>
                </c:pt>
                <c:pt idx="4">
                  <c:v>2039</c:v>
                </c:pt>
                <c:pt idx="5">
                  <c:v>1830</c:v>
                </c:pt>
                <c:pt idx="6">
                  <c:v>1631</c:v>
                </c:pt>
                <c:pt idx="7">
                  <c:v>1460</c:v>
                </c:pt>
                <c:pt idx="8">
                  <c:v>1220</c:v>
                </c:pt>
                <c:pt idx="9">
                  <c:v>1061</c:v>
                </c:pt>
                <c:pt idx="10">
                  <c:v>733</c:v>
                </c:pt>
                <c:pt idx="11">
                  <c:v>481</c:v>
                </c:pt>
                <c:pt idx="12">
                  <c:v>456</c:v>
                </c:pt>
                <c:pt idx="13">
                  <c:v>339</c:v>
                </c:pt>
                <c:pt idx="14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A-4DDC-8DC9-32FD996D3A46}"/>
            </c:ext>
          </c:extLst>
        </c:ser>
        <c:ser>
          <c:idx val="1"/>
          <c:order val="1"/>
          <c:tx>
            <c:strRef>
              <c:f>'Data 160MHz'!$C$1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160MHz'!$C$2:$C$16</c:f>
              <c:numCache>
                <c:formatCode>General</c:formatCode>
                <c:ptCount val="15"/>
                <c:pt idx="0">
                  <c:v>2563</c:v>
                </c:pt>
                <c:pt idx="1">
                  <c:v>2563</c:v>
                </c:pt>
                <c:pt idx="2">
                  <c:v>2563</c:v>
                </c:pt>
                <c:pt idx="3">
                  <c:v>2318</c:v>
                </c:pt>
                <c:pt idx="4">
                  <c:v>2042</c:v>
                </c:pt>
                <c:pt idx="5">
                  <c:v>1834</c:v>
                </c:pt>
                <c:pt idx="6">
                  <c:v>1633</c:v>
                </c:pt>
                <c:pt idx="7">
                  <c:v>1464</c:v>
                </c:pt>
                <c:pt idx="8">
                  <c:v>1223</c:v>
                </c:pt>
                <c:pt idx="9">
                  <c:v>1069</c:v>
                </c:pt>
                <c:pt idx="10">
                  <c:v>735</c:v>
                </c:pt>
                <c:pt idx="11">
                  <c:v>514</c:v>
                </c:pt>
                <c:pt idx="12">
                  <c:v>466</c:v>
                </c:pt>
                <c:pt idx="13">
                  <c:v>349</c:v>
                </c:pt>
                <c:pt idx="14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A-4DDC-8DC9-32FD996D3A46}"/>
            </c:ext>
          </c:extLst>
        </c:ser>
        <c:ser>
          <c:idx val="2"/>
          <c:order val="2"/>
          <c:tx>
            <c:strRef>
              <c:f>'Data 160MHz'!$D$1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160MHz'!$D$2:$D$16</c:f>
              <c:numCache>
                <c:formatCode>General</c:formatCode>
                <c:ptCount val="15"/>
                <c:pt idx="0">
                  <c:v>2422</c:v>
                </c:pt>
                <c:pt idx="1">
                  <c:v>2425</c:v>
                </c:pt>
                <c:pt idx="2">
                  <c:v>2343</c:v>
                </c:pt>
                <c:pt idx="3">
                  <c:v>2154</c:v>
                </c:pt>
                <c:pt idx="4">
                  <c:v>1987</c:v>
                </c:pt>
                <c:pt idx="5">
                  <c:v>1796</c:v>
                </c:pt>
                <c:pt idx="6">
                  <c:v>1595</c:v>
                </c:pt>
                <c:pt idx="7">
                  <c:v>1243</c:v>
                </c:pt>
                <c:pt idx="8">
                  <c:v>1150</c:v>
                </c:pt>
                <c:pt idx="9">
                  <c:v>854</c:v>
                </c:pt>
                <c:pt idx="10">
                  <c:v>708</c:v>
                </c:pt>
                <c:pt idx="11">
                  <c:v>466</c:v>
                </c:pt>
                <c:pt idx="12">
                  <c:v>348</c:v>
                </c:pt>
                <c:pt idx="13">
                  <c:v>115</c:v>
                </c:pt>
                <c:pt idx="1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A-4DDC-8DC9-32FD996D3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160 MHz — 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160MHz'!$E$1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160MHz'!$E$2:$E$16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D3C-A3D3-9F3F6FA3075E}"/>
            </c:ext>
          </c:extLst>
        </c:ser>
        <c:ser>
          <c:idx val="1"/>
          <c:order val="1"/>
          <c:tx>
            <c:strRef>
              <c:f>'Data 160MHz'!$F$1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160MHz'!$F$2:$F$16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D3C-A3D3-9F3F6FA3075E}"/>
            </c:ext>
          </c:extLst>
        </c:ser>
        <c:ser>
          <c:idx val="2"/>
          <c:order val="2"/>
          <c:tx>
            <c:strRef>
              <c:f>'Data 160MHz'!$G$1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160MHz'!$G$2:$G$16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8-4D3C-A3D3-9F3F6FA3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160 MHz — 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160MHz'!$H$1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160MHz'!$H$2:$H$16</c:f>
              <c:numCache>
                <c:formatCode>General</c:formatCode>
                <c:ptCount val="15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4-4B16-A566-AD2056882689}"/>
            </c:ext>
          </c:extLst>
        </c:ser>
        <c:ser>
          <c:idx val="1"/>
          <c:order val="1"/>
          <c:tx>
            <c:strRef>
              <c:f>'Data 160MHz'!$I$1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160MHz'!$I$2:$I$16</c:f>
              <c:numCache>
                <c:formatCode>General</c:formatCode>
                <c:ptCount val="15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74-4B16-A566-AD2056882689}"/>
            </c:ext>
          </c:extLst>
        </c:ser>
        <c:ser>
          <c:idx val="2"/>
          <c:order val="2"/>
          <c:tx>
            <c:strRef>
              <c:f>'Data 160MHz'!$J$1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160MHz'!$J$2:$J$16</c:f>
              <c:numCache>
                <c:formatCode>General</c:formatCode>
                <c:ptCount val="15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74-4B16-A566-AD2056882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160 MHz — 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160MHz'!$K$1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160MHz'!$K$2:$K$16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3-43BB-96BD-A590BDA7401F}"/>
            </c:ext>
          </c:extLst>
        </c:ser>
        <c:ser>
          <c:idx val="1"/>
          <c:order val="1"/>
          <c:tx>
            <c:strRef>
              <c:f>'Data 160MHz'!$L$1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160MHz'!$L$2:$L$16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3-43BB-96BD-A590BDA7401F}"/>
            </c:ext>
          </c:extLst>
        </c:ser>
        <c:ser>
          <c:idx val="2"/>
          <c:order val="2"/>
          <c:tx>
            <c:strRef>
              <c:f>'Data 160MHz'!$M$1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160MHz'!$M$2:$M$16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63-43BB-96BD-A590BDA7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160 MHz — 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160MHz'!$N$1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160MHz'!$N$2:$N$16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6-4920-9E5A-5A755ED2EDE4}"/>
            </c:ext>
          </c:extLst>
        </c:ser>
        <c:ser>
          <c:idx val="1"/>
          <c:order val="1"/>
          <c:tx>
            <c:strRef>
              <c:f>'Data 160MHz'!$O$1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160MHz'!$O$2:$O$16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6-4920-9E5A-5A755ED2EDE4}"/>
            </c:ext>
          </c:extLst>
        </c:ser>
        <c:ser>
          <c:idx val="2"/>
          <c:order val="2"/>
          <c:tx>
            <c:strRef>
              <c:f>'Data 160MHz'!$P$1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160MHz'!$A$2:$A$16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160MHz'!$P$2:$P$16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6-4920-9E5A-5A755ED2E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320 MHz — 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320MHz'!$B$1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320MHz'!$B$2:$B$16</c:f>
              <c:numCache>
                <c:formatCode>General</c:formatCode>
                <c:ptCount val="15"/>
                <c:pt idx="0">
                  <c:v>5038</c:v>
                </c:pt>
                <c:pt idx="1">
                  <c:v>5038</c:v>
                </c:pt>
                <c:pt idx="2">
                  <c:v>5027</c:v>
                </c:pt>
                <c:pt idx="3">
                  <c:v>4569</c:v>
                </c:pt>
                <c:pt idx="4">
                  <c:v>4239</c:v>
                </c:pt>
                <c:pt idx="5">
                  <c:v>3398</c:v>
                </c:pt>
                <c:pt idx="6">
                  <c:v>3315</c:v>
                </c:pt>
                <c:pt idx="7">
                  <c:v>2583</c:v>
                </c:pt>
                <c:pt idx="8">
                  <c:v>2502</c:v>
                </c:pt>
                <c:pt idx="9">
                  <c:v>2064</c:v>
                </c:pt>
                <c:pt idx="10">
                  <c:v>1509</c:v>
                </c:pt>
                <c:pt idx="11">
                  <c:v>1020</c:v>
                </c:pt>
                <c:pt idx="12">
                  <c:v>764</c:v>
                </c:pt>
                <c:pt idx="13">
                  <c:v>488</c:v>
                </c:pt>
                <c:pt idx="14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7-4482-AAD3-68CAD4AF5086}"/>
            </c:ext>
          </c:extLst>
        </c:ser>
        <c:ser>
          <c:idx val="1"/>
          <c:order val="1"/>
          <c:tx>
            <c:strRef>
              <c:f>'Data 320MHz'!$C$1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320MHz'!$C$2:$C$16</c:f>
              <c:numCache>
                <c:formatCode>General</c:formatCode>
                <c:ptCount val="15"/>
                <c:pt idx="0">
                  <c:v>5040</c:v>
                </c:pt>
                <c:pt idx="1">
                  <c:v>5040</c:v>
                </c:pt>
                <c:pt idx="2">
                  <c:v>5030</c:v>
                </c:pt>
                <c:pt idx="3">
                  <c:v>4572</c:v>
                </c:pt>
                <c:pt idx="4">
                  <c:v>4243</c:v>
                </c:pt>
                <c:pt idx="5">
                  <c:v>3445</c:v>
                </c:pt>
                <c:pt idx="6">
                  <c:v>3327</c:v>
                </c:pt>
                <c:pt idx="7">
                  <c:v>2720</c:v>
                </c:pt>
                <c:pt idx="8">
                  <c:v>2527</c:v>
                </c:pt>
                <c:pt idx="9">
                  <c:v>2068</c:v>
                </c:pt>
                <c:pt idx="10">
                  <c:v>1511</c:v>
                </c:pt>
                <c:pt idx="11">
                  <c:v>1024</c:v>
                </c:pt>
                <c:pt idx="12">
                  <c:v>780</c:v>
                </c:pt>
                <c:pt idx="13">
                  <c:v>491</c:v>
                </c:pt>
                <c:pt idx="14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7-4482-AAD3-68CAD4AF5086}"/>
            </c:ext>
          </c:extLst>
        </c:ser>
        <c:ser>
          <c:idx val="2"/>
          <c:order val="2"/>
          <c:tx>
            <c:strRef>
              <c:f>'Data 320MHz'!$D$1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320MHz'!$D$2:$D$16</c:f>
              <c:numCache>
                <c:formatCode>General</c:formatCode>
                <c:ptCount val="15"/>
                <c:pt idx="0">
                  <c:v>4633</c:v>
                </c:pt>
                <c:pt idx="1">
                  <c:v>4433</c:v>
                </c:pt>
                <c:pt idx="2">
                  <c:v>4136</c:v>
                </c:pt>
                <c:pt idx="3">
                  <c:v>4090</c:v>
                </c:pt>
                <c:pt idx="4">
                  <c:v>3868</c:v>
                </c:pt>
                <c:pt idx="5">
                  <c:v>3501</c:v>
                </c:pt>
                <c:pt idx="6">
                  <c:v>3198</c:v>
                </c:pt>
                <c:pt idx="7">
                  <c:v>2364</c:v>
                </c:pt>
                <c:pt idx="8">
                  <c:v>2013</c:v>
                </c:pt>
                <c:pt idx="9">
                  <c:v>1633</c:v>
                </c:pt>
                <c:pt idx="10">
                  <c:v>1385</c:v>
                </c:pt>
                <c:pt idx="11">
                  <c:v>916</c:v>
                </c:pt>
                <c:pt idx="12">
                  <c:v>681</c:v>
                </c:pt>
                <c:pt idx="13">
                  <c:v>440</c:v>
                </c:pt>
                <c:pt idx="14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7-4482-AAD3-68CAD4AF5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320 MHz — 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320MHz'!$E$1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320MHz'!$E$2:$E$16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5-4DF8-AAF8-0D9D18D54E3C}"/>
            </c:ext>
          </c:extLst>
        </c:ser>
        <c:ser>
          <c:idx val="1"/>
          <c:order val="1"/>
          <c:tx>
            <c:strRef>
              <c:f>'Data 320MHz'!$F$1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320MHz'!$F$2:$F$16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5-4DF8-AAF8-0D9D18D54E3C}"/>
            </c:ext>
          </c:extLst>
        </c:ser>
        <c:ser>
          <c:idx val="2"/>
          <c:order val="2"/>
          <c:tx>
            <c:strRef>
              <c:f>'Data 320MHz'!$G$1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320MHz'!$G$2:$G$16</c:f>
              <c:numCache>
                <c:formatCode>General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75-4DF8-AAF8-0D9D18D54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320 MHz — 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320MHz'!$H$1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320MHz'!$H$2:$H$16</c:f>
              <c:numCache>
                <c:formatCode>General</c:formatCode>
                <c:ptCount val="15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4-4063-8BB7-1B99E5CE9CD1}"/>
            </c:ext>
          </c:extLst>
        </c:ser>
        <c:ser>
          <c:idx val="1"/>
          <c:order val="1"/>
          <c:tx>
            <c:strRef>
              <c:f>'Data 320MHz'!$I$1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320MHz'!$I$2:$I$16</c:f>
              <c:numCache>
                <c:formatCode>General</c:formatCode>
                <c:ptCount val="15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4-4063-8BB7-1B99E5CE9CD1}"/>
            </c:ext>
          </c:extLst>
        </c:ser>
        <c:ser>
          <c:idx val="2"/>
          <c:order val="2"/>
          <c:tx>
            <c:strRef>
              <c:f>'Data 320MHz'!$J$1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320MHz'!$J$2:$J$16</c:f>
              <c:numCache>
                <c:formatCode>General</c:formatCode>
                <c:ptCount val="15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4-4063-8BB7-1B99E5CE9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320 MHz — 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320MHz'!$K$1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320MHz'!$K$2:$K$16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3.2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E-4247-822A-798111A76CDC}"/>
            </c:ext>
          </c:extLst>
        </c:ser>
        <c:ser>
          <c:idx val="1"/>
          <c:order val="1"/>
          <c:tx>
            <c:strRef>
              <c:f>'Data 320MHz'!$L$1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320MHz'!$L$2:$L$16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E-4247-822A-798111A76CDC}"/>
            </c:ext>
          </c:extLst>
        </c:ser>
        <c:ser>
          <c:idx val="2"/>
          <c:order val="2"/>
          <c:tx>
            <c:strRef>
              <c:f>'Data 320MHz'!$M$1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320MHz'!$M$2:$M$16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E-4247-822A-798111A76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320 MHz — 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'Data 320MHz'!$N$1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320MHz'!$N$2:$N$16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4-4ABB-9E80-5A11EA36D94D}"/>
            </c:ext>
          </c:extLst>
        </c:ser>
        <c:ser>
          <c:idx val="1"/>
          <c:order val="1"/>
          <c:tx>
            <c:strRef>
              <c:f>'Data 320MHz'!$O$1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320MHz'!$O$2:$O$16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4-4ABB-9E80-5A11EA36D94D}"/>
            </c:ext>
          </c:extLst>
        </c:ser>
        <c:ser>
          <c:idx val="2"/>
          <c:order val="2"/>
          <c:tx>
            <c:strRef>
              <c:f>'Data 320MHz'!$P$1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'Data 320MHz'!$A$2:$A$16</c:f>
              <c:numCache>
                <c:formatCode>General</c:formatCode>
                <c:ptCount val="15"/>
                <c:pt idx="0">
                  <c:v>44</c:v>
                </c:pt>
                <c:pt idx="1">
                  <c:v>41</c:v>
                </c:pt>
                <c:pt idx="2">
                  <c:v>38</c:v>
                </c:pt>
                <c:pt idx="3">
                  <c:v>35</c:v>
                </c:pt>
                <c:pt idx="4">
                  <c:v>32</c:v>
                </c:pt>
                <c:pt idx="5">
                  <c:v>29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8</c:v>
                </c:pt>
                <c:pt idx="13">
                  <c:v>5</c:v>
                </c:pt>
                <c:pt idx="14">
                  <c:v>2</c:v>
                </c:pt>
              </c:numCache>
            </c:numRef>
          </c:cat>
          <c:val>
            <c:numRef>
              <c:f>'Data 320MHz'!$P$2:$P$16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4-4ABB-9E80-5A11EA36D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2"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abSelected="1"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workbookViewId="0"/>
  </sheetViews>
  <sheetFormatPr defaultRowHeight="14.5" x14ac:dyDescent="0.35"/>
  <cols>
    <col min="1" max="1" width="16" customWidth="1"/>
    <col min="2" max="2" width="26" customWidth="1"/>
    <col min="3" max="3" width="10" customWidth="1"/>
    <col min="4" max="4" width="16" customWidth="1"/>
    <col min="5" max="5" width="15" customWidth="1"/>
    <col min="6" max="8" width="18" customWidth="1"/>
  </cols>
  <sheetData>
    <row r="1" spans="1:8" x14ac:dyDescent="0.35">
      <c r="A1" t="s">
        <v>61</v>
      </c>
    </row>
    <row r="2" spans="1:8" x14ac:dyDescent="0.35">
      <c r="A2" t="s">
        <v>62</v>
      </c>
    </row>
    <row r="4" spans="1:8" ht="29" x14ac:dyDescent="0.35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  <c r="H4" s="9" t="s">
        <v>70</v>
      </c>
    </row>
    <row r="5" spans="1:8" x14ac:dyDescent="0.35">
      <c r="A5" s="10">
        <v>4</v>
      </c>
      <c r="B5" s="10">
        <v>8</v>
      </c>
      <c r="C5" s="10">
        <v>320</v>
      </c>
      <c r="D5" s="10">
        <f>-174 + 10*LOG10(C5*10^6) + $A$5 + $B$5</f>
        <v>-76.948500216800937</v>
      </c>
      <c r="E5" s="10">
        <v>37</v>
      </c>
      <c r="F5" s="10">
        <f>D5 + E5</f>
        <v>-39.948500216800937</v>
      </c>
      <c r="G5" s="10">
        <v>-40</v>
      </c>
      <c r="H5" s="10">
        <f>-D5</f>
        <v>76.948500216800937</v>
      </c>
    </row>
    <row r="6" spans="1:8" x14ac:dyDescent="0.35">
      <c r="A6" s="10"/>
      <c r="B6" s="10"/>
      <c r="C6" s="10">
        <v>160</v>
      </c>
      <c r="D6" s="10">
        <f>-174 + 10*LOG10(C6*10^6) + $A$5 + $B$5</f>
        <v>-79.95880017344075</v>
      </c>
      <c r="E6" s="10">
        <v>37</v>
      </c>
      <c r="F6" s="10">
        <f>D6 + E6</f>
        <v>-42.95880017344075</v>
      </c>
      <c r="G6" s="10">
        <v>-42</v>
      </c>
      <c r="H6" s="10">
        <f>-D6</f>
        <v>79.95880017344075</v>
      </c>
    </row>
    <row r="7" spans="1:8" x14ac:dyDescent="0.35">
      <c r="A7" s="10"/>
      <c r="B7" s="10"/>
      <c r="C7" s="10">
        <v>80</v>
      </c>
      <c r="D7" s="10">
        <f>-174 + 10*LOG10(C7*10^6) + $A$5 + $B$5</f>
        <v>-82.969100130080562</v>
      </c>
      <c r="E7" s="10">
        <v>37</v>
      </c>
      <c r="F7" s="10">
        <f>D7 + E7</f>
        <v>-45.969100130080562</v>
      </c>
      <c r="G7" s="10">
        <v>-44.5</v>
      </c>
      <c r="H7" s="10">
        <f>-D7</f>
        <v>82.969100130080562</v>
      </c>
    </row>
    <row r="8" spans="1:8" x14ac:dyDescent="0.35">
      <c r="A8" s="10"/>
      <c r="B8" s="10"/>
      <c r="C8" s="10">
        <v>40</v>
      </c>
      <c r="D8" s="10">
        <f>-174 + 10*LOG10(C8*10^6) + $A$5 + $B$5</f>
        <v>-85.979400086720375</v>
      </c>
      <c r="E8" s="10">
        <v>37</v>
      </c>
      <c r="F8" s="10">
        <f>D8 + E8</f>
        <v>-48.979400086720375</v>
      </c>
      <c r="G8" s="10">
        <v>-47.5</v>
      </c>
      <c r="H8" s="10">
        <f>-D8</f>
        <v>85.979400086720375</v>
      </c>
    </row>
    <row r="9" spans="1:8" x14ac:dyDescent="0.35">
      <c r="A9" s="10"/>
      <c r="B9" s="10"/>
      <c r="C9" s="10">
        <v>20</v>
      </c>
      <c r="D9" s="10">
        <f>-174 + 10*LOG10(C9*10^6) + $A$5 + $B$5</f>
        <v>-88.989700043360187</v>
      </c>
      <c r="E9" s="10">
        <v>37</v>
      </c>
      <c r="F9" s="10">
        <f>D9 + E9</f>
        <v>-51.989700043360187</v>
      </c>
      <c r="G9" s="10">
        <v>-50.5</v>
      </c>
      <c r="H9" s="10">
        <f>-D9</f>
        <v>88.989700043360187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>
      <pane ySplit="2" topLeftCell="A3" activePane="bottomLeft" state="frozen"/>
      <selection pane="bottomLeft" sqref="A1:U1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44</v>
      </c>
      <c r="C3" s="6">
        <v>274</v>
      </c>
      <c r="D3" s="6">
        <v>13</v>
      </c>
      <c r="E3" s="6">
        <v>20</v>
      </c>
      <c r="F3" s="6" t="s">
        <v>22</v>
      </c>
      <c r="G3" s="6" t="s">
        <v>23</v>
      </c>
      <c r="H3" s="6" t="s">
        <v>24</v>
      </c>
      <c r="I3" s="6" t="s">
        <v>25</v>
      </c>
      <c r="J3" s="7">
        <v>275</v>
      </c>
      <c r="K3" s="7">
        <v>13</v>
      </c>
      <c r="L3" s="7">
        <v>20</v>
      </c>
      <c r="M3" s="7" t="s">
        <v>22</v>
      </c>
      <c r="N3" s="7" t="s">
        <v>23</v>
      </c>
      <c r="O3" s="8">
        <v>-49</v>
      </c>
      <c r="P3" s="8">
        <v>285</v>
      </c>
      <c r="Q3" s="8">
        <v>13</v>
      </c>
      <c r="R3" s="8">
        <v>20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41</v>
      </c>
      <c r="C4" s="6">
        <v>274</v>
      </c>
      <c r="D4" s="6">
        <v>13</v>
      </c>
      <c r="E4" s="6">
        <v>20</v>
      </c>
      <c r="F4" s="6" t="s">
        <v>22</v>
      </c>
      <c r="G4" s="6" t="s">
        <v>23</v>
      </c>
      <c r="H4" s="6" t="s">
        <v>24</v>
      </c>
      <c r="I4" s="6" t="s">
        <v>25</v>
      </c>
      <c r="J4" s="7">
        <v>274</v>
      </c>
      <c r="K4" s="7">
        <v>13</v>
      </c>
      <c r="L4" s="7">
        <v>20</v>
      </c>
      <c r="M4" s="7" t="s">
        <v>22</v>
      </c>
      <c r="N4" s="7" t="s">
        <v>23</v>
      </c>
      <c r="O4" s="8">
        <v>-52</v>
      </c>
      <c r="P4" s="8">
        <v>285</v>
      </c>
      <c r="Q4" s="8">
        <v>13</v>
      </c>
      <c r="R4" s="8">
        <v>20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38</v>
      </c>
      <c r="C5" s="6">
        <v>274</v>
      </c>
      <c r="D5" s="6">
        <v>13</v>
      </c>
      <c r="E5" s="6">
        <v>20</v>
      </c>
      <c r="F5" s="6" t="s">
        <v>22</v>
      </c>
      <c r="G5" s="6" t="s">
        <v>23</v>
      </c>
      <c r="H5" s="6" t="s">
        <v>24</v>
      </c>
      <c r="I5" s="6" t="s">
        <v>25</v>
      </c>
      <c r="J5" s="7">
        <v>274</v>
      </c>
      <c r="K5" s="7">
        <v>13</v>
      </c>
      <c r="L5" s="7">
        <v>20</v>
      </c>
      <c r="M5" s="7" t="s">
        <v>22</v>
      </c>
      <c r="N5" s="7" t="s">
        <v>23</v>
      </c>
      <c r="O5" s="8">
        <v>-55</v>
      </c>
      <c r="P5" s="8">
        <v>283</v>
      </c>
      <c r="Q5" s="8">
        <v>13</v>
      </c>
      <c r="R5" s="8">
        <v>20</v>
      </c>
      <c r="S5" s="8" t="s">
        <v>22</v>
      </c>
      <c r="T5" s="8" t="s">
        <v>23</v>
      </c>
      <c r="U5" s="8" t="s">
        <v>24</v>
      </c>
    </row>
    <row r="6" spans="1:21" x14ac:dyDescent="0.35">
      <c r="A6" s="5">
        <v>4</v>
      </c>
      <c r="B6" s="5">
        <v>35</v>
      </c>
      <c r="C6" s="6">
        <v>247</v>
      </c>
      <c r="D6" s="6">
        <v>12</v>
      </c>
      <c r="E6" s="6">
        <v>20</v>
      </c>
      <c r="F6" s="6" t="s">
        <v>22</v>
      </c>
      <c r="G6" s="6" t="s">
        <v>23</v>
      </c>
      <c r="H6" s="6" t="s">
        <v>24</v>
      </c>
      <c r="I6" s="6" t="s">
        <v>25</v>
      </c>
      <c r="J6" s="7">
        <v>248</v>
      </c>
      <c r="K6" s="7">
        <v>12</v>
      </c>
      <c r="L6" s="7">
        <v>20</v>
      </c>
      <c r="M6" s="7" t="s">
        <v>22</v>
      </c>
      <c r="N6" s="7" t="s">
        <v>23</v>
      </c>
      <c r="O6" s="8">
        <v>-58</v>
      </c>
      <c r="P6" s="8">
        <v>253</v>
      </c>
      <c r="Q6" s="8">
        <v>12</v>
      </c>
      <c r="R6" s="8">
        <v>20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32</v>
      </c>
      <c r="C7" s="6">
        <v>242</v>
      </c>
      <c r="D7" s="6">
        <v>11</v>
      </c>
      <c r="E7" s="6">
        <v>20</v>
      </c>
      <c r="F7" s="6" t="s">
        <v>22</v>
      </c>
      <c r="G7" s="6" t="s">
        <v>23</v>
      </c>
      <c r="H7" s="6" t="s">
        <v>25</v>
      </c>
      <c r="I7" s="6" t="s">
        <v>25</v>
      </c>
      <c r="J7" s="7">
        <v>244</v>
      </c>
      <c r="K7" s="7">
        <v>11</v>
      </c>
      <c r="L7" s="7">
        <v>20</v>
      </c>
      <c r="M7" s="7" t="s">
        <v>22</v>
      </c>
      <c r="N7" s="7" t="s">
        <v>23</v>
      </c>
      <c r="O7" s="8">
        <v>-61</v>
      </c>
      <c r="P7" s="8">
        <v>235</v>
      </c>
      <c r="Q7" s="8">
        <v>11</v>
      </c>
      <c r="R7" s="8">
        <v>20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29</v>
      </c>
      <c r="C8" s="6">
        <v>218</v>
      </c>
      <c r="D8" s="6">
        <v>10</v>
      </c>
      <c r="E8" s="6">
        <v>20</v>
      </c>
      <c r="F8" s="6" t="s">
        <v>22</v>
      </c>
      <c r="G8" s="6" t="s">
        <v>23</v>
      </c>
      <c r="H8" s="6" t="s">
        <v>25</v>
      </c>
      <c r="I8" s="6" t="s">
        <v>25</v>
      </c>
      <c r="J8" s="7">
        <v>219</v>
      </c>
      <c r="K8" s="7">
        <v>10</v>
      </c>
      <c r="L8" s="7">
        <v>20</v>
      </c>
      <c r="M8" s="7" t="s">
        <v>22</v>
      </c>
      <c r="N8" s="7" t="s">
        <v>23</v>
      </c>
      <c r="O8" s="8">
        <v>-64</v>
      </c>
      <c r="P8" s="8">
        <v>209</v>
      </c>
      <c r="Q8" s="8">
        <v>10</v>
      </c>
      <c r="R8" s="8">
        <v>20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26</v>
      </c>
      <c r="C9" s="6">
        <v>194</v>
      </c>
      <c r="D9" s="6">
        <v>9</v>
      </c>
      <c r="E9" s="6">
        <v>20</v>
      </c>
      <c r="F9" s="6" t="s">
        <v>22</v>
      </c>
      <c r="G9" s="6" t="s">
        <v>23</v>
      </c>
      <c r="H9" s="6" t="s">
        <v>25</v>
      </c>
      <c r="I9" s="6" t="s">
        <v>25</v>
      </c>
      <c r="J9" s="7">
        <v>195</v>
      </c>
      <c r="K9" s="7">
        <v>9</v>
      </c>
      <c r="L9" s="7">
        <v>20</v>
      </c>
      <c r="M9" s="7" t="s">
        <v>22</v>
      </c>
      <c r="N9" s="7" t="s">
        <v>23</v>
      </c>
      <c r="O9" s="8">
        <v>-67</v>
      </c>
      <c r="P9" s="8">
        <v>187</v>
      </c>
      <c r="Q9" s="8">
        <v>9</v>
      </c>
      <c r="R9" s="8">
        <v>20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23</v>
      </c>
      <c r="C10" s="6">
        <v>173</v>
      </c>
      <c r="D10" s="6">
        <v>8</v>
      </c>
      <c r="E10" s="6">
        <v>20</v>
      </c>
      <c r="F10" s="6" t="s">
        <v>22</v>
      </c>
      <c r="G10" s="6" t="s">
        <v>23</v>
      </c>
      <c r="H10" s="6" t="s">
        <v>26</v>
      </c>
      <c r="I10" s="6" t="s">
        <v>26</v>
      </c>
      <c r="J10" s="7">
        <v>175</v>
      </c>
      <c r="K10" s="7">
        <v>8</v>
      </c>
      <c r="L10" s="7">
        <v>20</v>
      </c>
      <c r="M10" s="7" t="s">
        <v>22</v>
      </c>
      <c r="N10" s="7" t="s">
        <v>23</v>
      </c>
      <c r="O10" s="8">
        <v>-69.900000000000006</v>
      </c>
      <c r="P10" s="8">
        <v>168</v>
      </c>
      <c r="Q10" s="8">
        <v>8</v>
      </c>
      <c r="R10" s="8">
        <v>20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20</v>
      </c>
      <c r="C11" s="6">
        <v>145</v>
      </c>
      <c r="D11" s="6">
        <v>7</v>
      </c>
      <c r="E11" s="6">
        <v>20</v>
      </c>
      <c r="F11" s="6" t="s">
        <v>22</v>
      </c>
      <c r="G11" s="6" t="s">
        <v>23</v>
      </c>
      <c r="H11" s="6" t="s">
        <v>26</v>
      </c>
      <c r="I11" s="6" t="s">
        <v>26</v>
      </c>
      <c r="J11" s="7">
        <v>146</v>
      </c>
      <c r="K11" s="7">
        <v>7</v>
      </c>
      <c r="L11" s="7">
        <v>20</v>
      </c>
      <c r="M11" s="7" t="s">
        <v>22</v>
      </c>
      <c r="N11" s="7" t="s">
        <v>23</v>
      </c>
      <c r="O11" s="8">
        <v>-73</v>
      </c>
      <c r="P11" s="8">
        <v>141</v>
      </c>
      <c r="Q11" s="8">
        <v>7</v>
      </c>
      <c r="R11" s="8">
        <v>20</v>
      </c>
      <c r="S11" s="8" t="s">
        <v>22</v>
      </c>
      <c r="T11" s="8" t="s">
        <v>23</v>
      </c>
      <c r="U11" s="8" t="s">
        <v>24</v>
      </c>
    </row>
    <row r="12" spans="1:21" x14ac:dyDescent="0.35">
      <c r="A12" s="5">
        <v>10</v>
      </c>
      <c r="B12" s="5">
        <v>17</v>
      </c>
      <c r="C12" s="6">
        <v>120</v>
      </c>
      <c r="D12" s="6">
        <v>6</v>
      </c>
      <c r="E12" s="6">
        <v>20</v>
      </c>
      <c r="F12" s="6" t="s">
        <v>22</v>
      </c>
      <c r="G12" s="6" t="s">
        <v>23</v>
      </c>
      <c r="H12" s="6" t="s">
        <v>27</v>
      </c>
      <c r="I12" s="6" t="s">
        <v>26</v>
      </c>
      <c r="J12" s="7">
        <v>122</v>
      </c>
      <c r="K12" s="7">
        <v>6</v>
      </c>
      <c r="L12" s="7">
        <v>20</v>
      </c>
      <c r="M12" s="7" t="s">
        <v>22</v>
      </c>
      <c r="N12" s="7" t="s">
        <v>23</v>
      </c>
      <c r="O12" s="8">
        <v>-76</v>
      </c>
      <c r="P12" s="8">
        <v>111</v>
      </c>
      <c r="Q12" s="8">
        <v>5</v>
      </c>
      <c r="R12" s="8">
        <v>20</v>
      </c>
      <c r="S12" s="8" t="s">
        <v>22</v>
      </c>
      <c r="T12" s="8" t="s">
        <v>23</v>
      </c>
      <c r="U12" s="8" t="s">
        <v>24</v>
      </c>
    </row>
    <row r="13" spans="1:21" x14ac:dyDescent="0.35">
      <c r="A13" s="5">
        <v>11</v>
      </c>
      <c r="B13" s="5">
        <v>14</v>
      </c>
      <c r="C13" s="6">
        <v>87</v>
      </c>
      <c r="D13" s="6">
        <v>4</v>
      </c>
      <c r="E13" s="6">
        <v>20</v>
      </c>
      <c r="F13" s="6" t="s">
        <v>22</v>
      </c>
      <c r="G13" s="6" t="s">
        <v>23</v>
      </c>
      <c r="H13" s="6" t="s">
        <v>26</v>
      </c>
      <c r="I13" s="6" t="s">
        <v>26</v>
      </c>
      <c r="J13" s="7">
        <v>88</v>
      </c>
      <c r="K13" s="7">
        <v>4</v>
      </c>
      <c r="L13" s="7">
        <v>20</v>
      </c>
      <c r="M13" s="7" t="s">
        <v>22</v>
      </c>
      <c r="N13" s="7" t="s">
        <v>23</v>
      </c>
      <c r="O13" s="8">
        <v>-79.099999999999994</v>
      </c>
      <c r="P13" s="8">
        <v>83</v>
      </c>
      <c r="Q13" s="8">
        <v>4</v>
      </c>
      <c r="R13" s="8">
        <v>20</v>
      </c>
      <c r="S13" s="8" t="s">
        <v>22</v>
      </c>
      <c r="T13" s="8" t="s">
        <v>23</v>
      </c>
      <c r="U13" s="8" t="s">
        <v>24</v>
      </c>
    </row>
    <row r="14" spans="1:21" x14ac:dyDescent="0.35">
      <c r="A14" s="5">
        <v>12</v>
      </c>
      <c r="B14" s="5">
        <v>11</v>
      </c>
      <c r="C14" s="6">
        <v>57</v>
      </c>
      <c r="D14" s="6">
        <v>3</v>
      </c>
      <c r="E14" s="6">
        <v>20</v>
      </c>
      <c r="F14" s="6" t="s">
        <v>22</v>
      </c>
      <c r="G14" s="6" t="s">
        <v>23</v>
      </c>
      <c r="H14" s="6" t="s">
        <v>28</v>
      </c>
      <c r="I14" s="6" t="s">
        <v>28</v>
      </c>
      <c r="J14" s="7">
        <v>58</v>
      </c>
      <c r="K14" s="7">
        <v>3</v>
      </c>
      <c r="L14" s="7">
        <v>20</v>
      </c>
      <c r="M14" s="7" t="s">
        <v>22</v>
      </c>
      <c r="N14" s="7" t="s">
        <v>23</v>
      </c>
      <c r="O14" s="8">
        <v>-82</v>
      </c>
      <c r="P14" s="8">
        <v>55</v>
      </c>
      <c r="Q14" s="8">
        <v>3</v>
      </c>
      <c r="R14" s="8">
        <v>20</v>
      </c>
      <c r="S14" s="8" t="s">
        <v>22</v>
      </c>
      <c r="T14" s="8" t="s">
        <v>23</v>
      </c>
      <c r="U14" s="8" t="s">
        <v>24</v>
      </c>
    </row>
    <row r="15" spans="1:21" x14ac:dyDescent="0.35">
      <c r="A15" s="5">
        <v>13</v>
      </c>
      <c r="B15" s="5">
        <v>8</v>
      </c>
      <c r="C15" s="6">
        <v>46</v>
      </c>
      <c r="D15" s="6">
        <v>2</v>
      </c>
      <c r="E15" s="6">
        <v>20</v>
      </c>
      <c r="F15" s="6" t="s">
        <v>22</v>
      </c>
      <c r="G15" s="6" t="s">
        <v>23</v>
      </c>
      <c r="H15" s="6" t="s">
        <v>29</v>
      </c>
      <c r="I15" s="6" t="s">
        <v>30</v>
      </c>
      <c r="J15" s="7">
        <v>51</v>
      </c>
      <c r="K15" s="7">
        <v>3</v>
      </c>
      <c r="L15" s="7">
        <v>20</v>
      </c>
      <c r="M15" s="7" t="s">
        <v>22</v>
      </c>
      <c r="N15" s="7" t="s">
        <v>23</v>
      </c>
      <c r="O15" s="8">
        <v>-85</v>
      </c>
      <c r="P15" s="8">
        <v>41</v>
      </c>
      <c r="Q15" s="8">
        <v>2</v>
      </c>
      <c r="R15" s="8">
        <v>20</v>
      </c>
      <c r="S15" s="8" t="s">
        <v>22</v>
      </c>
      <c r="T15" s="8" t="s">
        <v>23</v>
      </c>
      <c r="U15" s="8" t="s">
        <v>24</v>
      </c>
    </row>
    <row r="16" spans="1:21" x14ac:dyDescent="0.35">
      <c r="A16" s="5">
        <v>14</v>
      </c>
      <c r="B16" s="5">
        <v>5</v>
      </c>
      <c r="C16" s="6">
        <v>22</v>
      </c>
      <c r="D16" s="6">
        <v>2</v>
      </c>
      <c r="E16" s="6">
        <v>20</v>
      </c>
      <c r="F16" s="6" t="s">
        <v>22</v>
      </c>
      <c r="G16" s="6" t="s">
        <v>23</v>
      </c>
      <c r="H16" s="6" t="s">
        <v>31</v>
      </c>
      <c r="I16" s="6" t="s">
        <v>24</v>
      </c>
      <c r="J16" s="7">
        <v>29</v>
      </c>
      <c r="K16" s="7">
        <v>1</v>
      </c>
      <c r="L16" s="7">
        <v>20</v>
      </c>
      <c r="M16" s="7" t="s">
        <v>22</v>
      </c>
      <c r="N16" s="7" t="s">
        <v>23</v>
      </c>
      <c r="O16" s="8">
        <v>-87.6</v>
      </c>
      <c r="P16" s="8">
        <v>19</v>
      </c>
      <c r="Q16" s="8">
        <v>3</v>
      </c>
      <c r="R16" s="8">
        <v>20</v>
      </c>
      <c r="S16" s="8" t="s">
        <v>32</v>
      </c>
      <c r="T16" s="8" t="s">
        <v>23</v>
      </c>
      <c r="U16" s="8" t="s">
        <v>25</v>
      </c>
    </row>
    <row r="17" spans="1:21" x14ac:dyDescent="0.35">
      <c r="A17" s="5">
        <v>15</v>
      </c>
      <c r="B17" s="5">
        <v>2</v>
      </c>
      <c r="C17" s="6">
        <v>14</v>
      </c>
      <c r="D17" s="6">
        <v>0</v>
      </c>
      <c r="E17" s="6">
        <v>20</v>
      </c>
      <c r="F17" s="6" t="s">
        <v>22</v>
      </c>
      <c r="G17" s="6" t="s">
        <v>23</v>
      </c>
      <c r="H17" s="6" t="s">
        <v>33</v>
      </c>
      <c r="I17" s="6" t="s">
        <v>34</v>
      </c>
      <c r="J17" s="7">
        <v>18</v>
      </c>
      <c r="K17" s="7">
        <v>1</v>
      </c>
      <c r="L17" s="7">
        <v>20</v>
      </c>
      <c r="M17" s="7" t="s">
        <v>22</v>
      </c>
      <c r="N17" s="7" t="s">
        <v>35</v>
      </c>
      <c r="O17" s="8">
        <v>-90.3</v>
      </c>
      <c r="P17" s="8">
        <v>19</v>
      </c>
      <c r="Q17" s="8">
        <v>2</v>
      </c>
      <c r="R17" s="8">
        <v>20</v>
      </c>
      <c r="S17" s="8" t="s">
        <v>32</v>
      </c>
      <c r="T17" s="8" t="s">
        <v>23</v>
      </c>
      <c r="U17" s="8" t="s">
        <v>34</v>
      </c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4.5" x14ac:dyDescent="0.35"/>
  <sheetData>
    <row r="1" spans="1:16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12</v>
      </c>
      <c r="J1" t="s">
        <v>43</v>
      </c>
      <c r="K1" t="s">
        <v>44</v>
      </c>
      <c r="L1" t="s">
        <v>14</v>
      </c>
      <c r="M1" t="s">
        <v>45</v>
      </c>
      <c r="N1" t="s">
        <v>46</v>
      </c>
      <c r="O1" t="s">
        <v>13</v>
      </c>
      <c r="P1" t="s">
        <v>47</v>
      </c>
    </row>
    <row r="2" spans="1:16" x14ac:dyDescent="0.35">
      <c r="A2">
        <v>44</v>
      </c>
      <c r="B2">
        <v>274</v>
      </c>
      <c r="C2">
        <v>275</v>
      </c>
      <c r="D2">
        <v>285</v>
      </c>
      <c r="E2">
        <v>13</v>
      </c>
      <c r="F2">
        <v>13</v>
      </c>
      <c r="G2">
        <v>13</v>
      </c>
      <c r="H2">
        <v>20</v>
      </c>
      <c r="I2">
        <v>20</v>
      </c>
      <c r="J2">
        <v>20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41</v>
      </c>
      <c r="B3">
        <v>274</v>
      </c>
      <c r="C3">
        <v>274</v>
      </c>
      <c r="D3">
        <v>285</v>
      </c>
      <c r="E3">
        <v>13</v>
      </c>
      <c r="F3">
        <v>13</v>
      </c>
      <c r="G3">
        <v>13</v>
      </c>
      <c r="H3">
        <v>20</v>
      </c>
      <c r="I3">
        <v>20</v>
      </c>
      <c r="J3">
        <v>20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38</v>
      </c>
      <c r="B4">
        <v>274</v>
      </c>
      <c r="C4">
        <v>274</v>
      </c>
      <c r="D4">
        <v>283</v>
      </c>
      <c r="E4">
        <v>13</v>
      </c>
      <c r="F4">
        <v>13</v>
      </c>
      <c r="G4">
        <v>13</v>
      </c>
      <c r="H4">
        <v>20</v>
      </c>
      <c r="I4">
        <v>20</v>
      </c>
      <c r="J4">
        <v>20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35</v>
      </c>
      <c r="B5">
        <v>247</v>
      </c>
      <c r="C5">
        <v>248</v>
      </c>
      <c r="D5">
        <v>253</v>
      </c>
      <c r="E5">
        <v>12</v>
      </c>
      <c r="F5">
        <v>12</v>
      </c>
      <c r="G5">
        <v>12</v>
      </c>
      <c r="H5">
        <v>20</v>
      </c>
      <c r="I5">
        <v>20</v>
      </c>
      <c r="J5">
        <v>20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32</v>
      </c>
      <c r="B6">
        <v>242</v>
      </c>
      <c r="C6">
        <v>244</v>
      </c>
      <c r="D6">
        <v>235</v>
      </c>
      <c r="E6">
        <v>11</v>
      </c>
      <c r="F6">
        <v>11</v>
      </c>
      <c r="G6">
        <v>11</v>
      </c>
      <c r="H6">
        <v>20</v>
      </c>
      <c r="I6">
        <v>20</v>
      </c>
      <c r="J6">
        <v>20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29</v>
      </c>
      <c r="B7">
        <v>218</v>
      </c>
      <c r="C7">
        <v>219</v>
      </c>
      <c r="D7">
        <v>209</v>
      </c>
      <c r="E7">
        <v>10</v>
      </c>
      <c r="F7">
        <v>10</v>
      </c>
      <c r="G7">
        <v>10</v>
      </c>
      <c r="H7">
        <v>20</v>
      </c>
      <c r="I7">
        <v>20</v>
      </c>
      <c r="J7">
        <v>20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26</v>
      </c>
      <c r="B8">
        <v>194</v>
      </c>
      <c r="C8">
        <v>195</v>
      </c>
      <c r="D8">
        <v>187</v>
      </c>
      <c r="E8">
        <v>9</v>
      </c>
      <c r="F8">
        <v>9</v>
      </c>
      <c r="G8">
        <v>9</v>
      </c>
      <c r="H8">
        <v>20</v>
      </c>
      <c r="I8">
        <v>20</v>
      </c>
      <c r="J8">
        <v>20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23</v>
      </c>
      <c r="B9">
        <v>173</v>
      </c>
      <c r="C9">
        <v>175</v>
      </c>
      <c r="D9">
        <v>168</v>
      </c>
      <c r="E9">
        <v>8</v>
      </c>
      <c r="F9">
        <v>8</v>
      </c>
      <c r="G9">
        <v>8</v>
      </c>
      <c r="H9">
        <v>20</v>
      </c>
      <c r="I9">
        <v>20</v>
      </c>
      <c r="J9">
        <v>20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20</v>
      </c>
      <c r="B10">
        <v>145</v>
      </c>
      <c r="C10">
        <v>146</v>
      </c>
      <c r="D10">
        <v>141</v>
      </c>
      <c r="E10">
        <v>7</v>
      </c>
      <c r="F10">
        <v>7</v>
      </c>
      <c r="G10">
        <v>7</v>
      </c>
      <c r="H10">
        <v>20</v>
      </c>
      <c r="I10">
        <v>20</v>
      </c>
      <c r="J10">
        <v>20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17</v>
      </c>
      <c r="B11">
        <v>120</v>
      </c>
      <c r="C11">
        <v>122</v>
      </c>
      <c r="D11">
        <v>111</v>
      </c>
      <c r="E11">
        <v>6</v>
      </c>
      <c r="F11">
        <v>6</v>
      </c>
      <c r="G11">
        <v>5</v>
      </c>
      <c r="H11">
        <v>20</v>
      </c>
      <c r="I11">
        <v>20</v>
      </c>
      <c r="J11">
        <v>20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14</v>
      </c>
      <c r="B12">
        <v>87</v>
      </c>
      <c r="C12">
        <v>88</v>
      </c>
      <c r="D12">
        <v>83</v>
      </c>
      <c r="E12">
        <v>4</v>
      </c>
      <c r="F12">
        <v>4</v>
      </c>
      <c r="G12">
        <v>4</v>
      </c>
      <c r="H12">
        <v>20</v>
      </c>
      <c r="I12">
        <v>20</v>
      </c>
      <c r="J12">
        <v>20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11</v>
      </c>
      <c r="B13">
        <v>57</v>
      </c>
      <c r="C13">
        <v>58</v>
      </c>
      <c r="D13">
        <v>55</v>
      </c>
      <c r="E13">
        <v>3</v>
      </c>
      <c r="F13">
        <v>3</v>
      </c>
      <c r="G13">
        <v>3</v>
      </c>
      <c r="H13">
        <v>20</v>
      </c>
      <c r="I13">
        <v>20</v>
      </c>
      <c r="J13">
        <v>20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8</v>
      </c>
      <c r="B14">
        <v>46</v>
      </c>
      <c r="C14">
        <v>51</v>
      </c>
      <c r="D14">
        <v>41</v>
      </c>
      <c r="E14">
        <v>2</v>
      </c>
      <c r="F14">
        <v>3</v>
      </c>
      <c r="G14">
        <v>2</v>
      </c>
      <c r="H14">
        <v>20</v>
      </c>
      <c r="I14">
        <v>20</v>
      </c>
      <c r="J14">
        <v>20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5</v>
      </c>
      <c r="B15">
        <v>22</v>
      </c>
      <c r="C15">
        <v>29</v>
      </c>
      <c r="D15">
        <v>19</v>
      </c>
      <c r="E15">
        <v>2</v>
      </c>
      <c r="F15">
        <v>1</v>
      </c>
      <c r="G15">
        <v>3</v>
      </c>
      <c r="H15">
        <v>20</v>
      </c>
      <c r="I15">
        <v>20</v>
      </c>
      <c r="J15">
        <v>20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1</v>
      </c>
    </row>
    <row r="16" spans="1:16" x14ac:dyDescent="0.35">
      <c r="A16">
        <v>2</v>
      </c>
      <c r="B16">
        <v>14</v>
      </c>
      <c r="C16">
        <v>18</v>
      </c>
      <c r="D16">
        <v>19</v>
      </c>
      <c r="E16">
        <v>0</v>
      </c>
      <c r="F16">
        <v>1</v>
      </c>
      <c r="G16">
        <v>2</v>
      </c>
      <c r="H16">
        <v>20</v>
      </c>
      <c r="I16">
        <v>20</v>
      </c>
      <c r="J16">
        <v>20</v>
      </c>
      <c r="K16">
        <v>0.8</v>
      </c>
      <c r="L16">
        <v>3.2</v>
      </c>
      <c r="M16">
        <v>0.8</v>
      </c>
      <c r="N16">
        <v>2</v>
      </c>
      <c r="O16">
        <v>2</v>
      </c>
      <c r="P16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"/>
  <sheetViews>
    <sheetView workbookViewId="0">
      <pane ySplit="2" topLeftCell="A3" activePane="bottomLeft" state="frozen"/>
      <selection pane="bottomLeft" sqref="A1:U1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44</v>
      </c>
      <c r="C3" s="6">
        <v>576</v>
      </c>
      <c r="D3" s="6">
        <v>13</v>
      </c>
      <c r="E3" s="6">
        <v>40</v>
      </c>
      <c r="F3" s="6" t="s">
        <v>22</v>
      </c>
      <c r="G3" s="6" t="s">
        <v>23</v>
      </c>
      <c r="H3" s="6" t="s">
        <v>24</v>
      </c>
      <c r="I3" s="6" t="s">
        <v>25</v>
      </c>
      <c r="J3" s="7">
        <v>578</v>
      </c>
      <c r="K3" s="7">
        <v>13</v>
      </c>
      <c r="L3" s="7">
        <v>40</v>
      </c>
      <c r="M3" s="7" t="s">
        <v>22</v>
      </c>
      <c r="N3" s="7" t="s">
        <v>23</v>
      </c>
      <c r="O3" s="8">
        <v>-47.9</v>
      </c>
      <c r="P3" s="8">
        <v>573</v>
      </c>
      <c r="Q3" s="8">
        <v>13</v>
      </c>
      <c r="R3" s="8">
        <v>40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41</v>
      </c>
      <c r="C4" s="6">
        <v>577</v>
      </c>
      <c r="D4" s="6">
        <v>13</v>
      </c>
      <c r="E4" s="6">
        <v>40</v>
      </c>
      <c r="F4" s="6" t="s">
        <v>22</v>
      </c>
      <c r="G4" s="6" t="s">
        <v>23</v>
      </c>
      <c r="H4" s="6" t="s">
        <v>24</v>
      </c>
      <c r="I4" s="6" t="s">
        <v>24</v>
      </c>
      <c r="J4" s="7">
        <v>578</v>
      </c>
      <c r="K4" s="7">
        <v>13</v>
      </c>
      <c r="L4" s="7">
        <v>40</v>
      </c>
      <c r="M4" s="7" t="s">
        <v>22</v>
      </c>
      <c r="N4" s="7" t="s">
        <v>23</v>
      </c>
      <c r="O4" s="8">
        <v>-50.9</v>
      </c>
      <c r="P4" s="8">
        <v>573</v>
      </c>
      <c r="Q4" s="8">
        <v>13</v>
      </c>
      <c r="R4" s="8">
        <v>40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38</v>
      </c>
      <c r="C5" s="6">
        <v>576</v>
      </c>
      <c r="D5" s="6">
        <v>13</v>
      </c>
      <c r="E5" s="6">
        <v>40</v>
      </c>
      <c r="F5" s="6" t="s">
        <v>22</v>
      </c>
      <c r="G5" s="6" t="s">
        <v>23</v>
      </c>
      <c r="H5" s="6" t="s">
        <v>24</v>
      </c>
      <c r="I5" s="6" t="s">
        <v>25</v>
      </c>
      <c r="J5" s="7">
        <v>578</v>
      </c>
      <c r="K5" s="7">
        <v>13</v>
      </c>
      <c r="L5" s="7">
        <v>40</v>
      </c>
      <c r="M5" s="7" t="s">
        <v>22</v>
      </c>
      <c r="N5" s="7" t="s">
        <v>23</v>
      </c>
      <c r="O5" s="8">
        <v>-54</v>
      </c>
      <c r="P5" s="8">
        <v>569</v>
      </c>
      <c r="Q5" s="8">
        <v>13</v>
      </c>
      <c r="R5" s="8">
        <v>40</v>
      </c>
      <c r="S5" s="8" t="s">
        <v>22</v>
      </c>
      <c r="T5" s="8" t="s">
        <v>23</v>
      </c>
      <c r="U5" s="8" t="s">
        <v>25</v>
      </c>
    </row>
    <row r="6" spans="1:21" x14ac:dyDescent="0.35">
      <c r="A6" s="5">
        <v>4</v>
      </c>
      <c r="B6" s="5">
        <v>35</v>
      </c>
      <c r="C6" s="6">
        <v>520</v>
      </c>
      <c r="D6" s="6">
        <v>12</v>
      </c>
      <c r="E6" s="6">
        <v>40</v>
      </c>
      <c r="F6" s="6" t="s">
        <v>22</v>
      </c>
      <c r="G6" s="6" t="s">
        <v>23</v>
      </c>
      <c r="H6" s="6" t="s">
        <v>25</v>
      </c>
      <c r="I6" s="6" t="s">
        <v>25</v>
      </c>
      <c r="J6" s="7">
        <v>523</v>
      </c>
      <c r="K6" s="7">
        <v>12</v>
      </c>
      <c r="L6" s="7">
        <v>40</v>
      </c>
      <c r="M6" s="7" t="s">
        <v>22</v>
      </c>
      <c r="N6" s="7" t="s">
        <v>23</v>
      </c>
      <c r="O6" s="8">
        <v>-57</v>
      </c>
      <c r="P6" s="8">
        <v>510</v>
      </c>
      <c r="Q6" s="8">
        <v>12</v>
      </c>
      <c r="R6" s="8">
        <v>40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32</v>
      </c>
      <c r="C7" s="6">
        <v>482</v>
      </c>
      <c r="D7" s="6">
        <v>11</v>
      </c>
      <c r="E7" s="6">
        <v>40</v>
      </c>
      <c r="F7" s="6" t="s">
        <v>22</v>
      </c>
      <c r="G7" s="6" t="s">
        <v>23</v>
      </c>
      <c r="H7" s="6" t="s">
        <v>25</v>
      </c>
      <c r="I7" s="6" t="s">
        <v>25</v>
      </c>
      <c r="J7" s="7">
        <v>485</v>
      </c>
      <c r="K7" s="7">
        <v>11</v>
      </c>
      <c r="L7" s="7">
        <v>40</v>
      </c>
      <c r="M7" s="7" t="s">
        <v>22</v>
      </c>
      <c r="N7" s="7" t="s">
        <v>23</v>
      </c>
      <c r="O7" s="8">
        <v>-60</v>
      </c>
      <c r="P7" s="8">
        <v>473</v>
      </c>
      <c r="Q7" s="8">
        <v>11</v>
      </c>
      <c r="R7" s="8">
        <v>40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29</v>
      </c>
      <c r="C8" s="6">
        <v>432</v>
      </c>
      <c r="D8" s="6">
        <v>10</v>
      </c>
      <c r="E8" s="6">
        <v>40</v>
      </c>
      <c r="F8" s="6" t="s">
        <v>22</v>
      </c>
      <c r="G8" s="6" t="s">
        <v>23</v>
      </c>
      <c r="H8" s="6" t="s">
        <v>26</v>
      </c>
      <c r="I8" s="6" t="s">
        <v>25</v>
      </c>
      <c r="J8" s="7">
        <v>435</v>
      </c>
      <c r="K8" s="7">
        <v>10</v>
      </c>
      <c r="L8" s="7">
        <v>40</v>
      </c>
      <c r="M8" s="7" t="s">
        <v>22</v>
      </c>
      <c r="N8" s="7" t="s">
        <v>23</v>
      </c>
      <c r="O8" s="8">
        <v>-63</v>
      </c>
      <c r="P8" s="8">
        <v>420</v>
      </c>
      <c r="Q8" s="8">
        <v>10</v>
      </c>
      <c r="R8" s="8">
        <v>40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26</v>
      </c>
      <c r="C9" s="6">
        <v>387</v>
      </c>
      <c r="D9" s="6">
        <v>9</v>
      </c>
      <c r="E9" s="6">
        <v>40</v>
      </c>
      <c r="F9" s="6" t="s">
        <v>22</v>
      </c>
      <c r="G9" s="6" t="s">
        <v>23</v>
      </c>
      <c r="H9" s="6" t="s">
        <v>25</v>
      </c>
      <c r="I9" s="6" t="s">
        <v>25</v>
      </c>
      <c r="J9" s="7">
        <v>390</v>
      </c>
      <c r="K9" s="7">
        <v>9</v>
      </c>
      <c r="L9" s="7">
        <v>40</v>
      </c>
      <c r="M9" s="7" t="s">
        <v>22</v>
      </c>
      <c r="N9" s="7" t="s">
        <v>23</v>
      </c>
      <c r="O9" s="8">
        <v>-66</v>
      </c>
      <c r="P9" s="8">
        <v>377</v>
      </c>
      <c r="Q9" s="8">
        <v>9</v>
      </c>
      <c r="R9" s="8">
        <v>40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23</v>
      </c>
      <c r="C10" s="6">
        <v>346</v>
      </c>
      <c r="D10" s="6">
        <v>8</v>
      </c>
      <c r="E10" s="6">
        <v>40</v>
      </c>
      <c r="F10" s="6" t="s">
        <v>22</v>
      </c>
      <c r="G10" s="6" t="s">
        <v>23</v>
      </c>
      <c r="H10" s="6" t="s">
        <v>26</v>
      </c>
      <c r="I10" s="6" t="s">
        <v>25</v>
      </c>
      <c r="J10" s="7">
        <v>348</v>
      </c>
      <c r="K10" s="7">
        <v>8</v>
      </c>
      <c r="L10" s="7">
        <v>40</v>
      </c>
      <c r="M10" s="7" t="s">
        <v>22</v>
      </c>
      <c r="N10" s="7" t="s">
        <v>23</v>
      </c>
      <c r="O10" s="8">
        <v>-68.900000000000006</v>
      </c>
      <c r="P10" s="8">
        <v>338</v>
      </c>
      <c r="Q10" s="8">
        <v>8</v>
      </c>
      <c r="R10" s="8">
        <v>40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20</v>
      </c>
      <c r="C11" s="6">
        <v>291</v>
      </c>
      <c r="D11" s="6">
        <v>7</v>
      </c>
      <c r="E11" s="6">
        <v>40</v>
      </c>
      <c r="F11" s="6" t="s">
        <v>22</v>
      </c>
      <c r="G11" s="6" t="s">
        <v>23</v>
      </c>
      <c r="H11" s="6" t="s">
        <v>25</v>
      </c>
      <c r="I11" s="6" t="s">
        <v>25</v>
      </c>
      <c r="J11" s="7">
        <v>293</v>
      </c>
      <c r="K11" s="7">
        <v>7</v>
      </c>
      <c r="L11" s="7">
        <v>40</v>
      </c>
      <c r="M11" s="7" t="s">
        <v>22</v>
      </c>
      <c r="N11" s="7" t="s">
        <v>23</v>
      </c>
      <c r="O11" s="8">
        <v>-72</v>
      </c>
      <c r="P11" s="8">
        <v>283</v>
      </c>
      <c r="Q11" s="8">
        <v>7</v>
      </c>
      <c r="R11" s="8">
        <v>40</v>
      </c>
      <c r="S11" s="8" t="s">
        <v>22</v>
      </c>
      <c r="T11" s="8" t="s">
        <v>23</v>
      </c>
      <c r="U11" s="8" t="s">
        <v>24</v>
      </c>
    </row>
    <row r="12" spans="1:21" x14ac:dyDescent="0.35">
      <c r="A12" s="5">
        <v>10</v>
      </c>
      <c r="B12" s="5">
        <v>17</v>
      </c>
      <c r="C12" s="6">
        <v>230</v>
      </c>
      <c r="D12" s="6">
        <v>5</v>
      </c>
      <c r="E12" s="6">
        <v>40</v>
      </c>
      <c r="F12" s="6" t="s">
        <v>22</v>
      </c>
      <c r="G12" s="6" t="s">
        <v>23</v>
      </c>
      <c r="H12" s="6" t="s">
        <v>33</v>
      </c>
      <c r="I12" s="6" t="s">
        <v>49</v>
      </c>
      <c r="J12" s="7">
        <v>234</v>
      </c>
      <c r="K12" s="7">
        <v>5</v>
      </c>
      <c r="L12" s="7">
        <v>40</v>
      </c>
      <c r="M12" s="7" t="s">
        <v>22</v>
      </c>
      <c r="N12" s="7" t="s">
        <v>23</v>
      </c>
      <c r="O12" s="8">
        <v>-75</v>
      </c>
      <c r="P12" s="8">
        <v>222</v>
      </c>
      <c r="Q12" s="8">
        <v>5</v>
      </c>
      <c r="R12" s="8">
        <v>40</v>
      </c>
      <c r="S12" s="8" t="s">
        <v>22</v>
      </c>
      <c r="T12" s="8" t="s">
        <v>23</v>
      </c>
      <c r="U12" s="8" t="s">
        <v>24</v>
      </c>
    </row>
    <row r="13" spans="1:21" x14ac:dyDescent="0.35">
      <c r="A13" s="5">
        <v>11</v>
      </c>
      <c r="B13" s="5">
        <v>14</v>
      </c>
      <c r="C13" s="6">
        <v>174</v>
      </c>
      <c r="D13" s="6">
        <v>4</v>
      </c>
      <c r="E13" s="6">
        <v>40</v>
      </c>
      <c r="F13" s="6" t="s">
        <v>22</v>
      </c>
      <c r="G13" s="6" t="s">
        <v>23</v>
      </c>
      <c r="H13" s="6" t="s">
        <v>26</v>
      </c>
      <c r="I13" s="6" t="s">
        <v>26</v>
      </c>
      <c r="J13" s="7">
        <v>176</v>
      </c>
      <c r="K13" s="7">
        <v>4</v>
      </c>
      <c r="L13" s="7">
        <v>40</v>
      </c>
      <c r="M13" s="7" t="s">
        <v>22</v>
      </c>
      <c r="N13" s="7" t="s">
        <v>23</v>
      </c>
      <c r="O13" s="8">
        <v>-78</v>
      </c>
      <c r="P13" s="8">
        <v>165</v>
      </c>
      <c r="Q13" s="8">
        <v>4</v>
      </c>
      <c r="R13" s="8">
        <v>40</v>
      </c>
      <c r="S13" s="8" t="s">
        <v>22</v>
      </c>
      <c r="T13" s="8" t="s">
        <v>23</v>
      </c>
      <c r="U13" s="8" t="s">
        <v>24</v>
      </c>
    </row>
    <row r="14" spans="1:21" x14ac:dyDescent="0.35">
      <c r="A14" s="5">
        <v>12</v>
      </c>
      <c r="B14" s="5">
        <v>11</v>
      </c>
      <c r="C14" s="6">
        <v>116</v>
      </c>
      <c r="D14" s="6">
        <v>3</v>
      </c>
      <c r="E14" s="6">
        <v>40</v>
      </c>
      <c r="F14" s="6" t="s">
        <v>22</v>
      </c>
      <c r="G14" s="6" t="s">
        <v>23</v>
      </c>
      <c r="H14" s="6" t="s">
        <v>25</v>
      </c>
      <c r="I14" s="6" t="s">
        <v>25</v>
      </c>
      <c r="J14" s="7">
        <v>117</v>
      </c>
      <c r="K14" s="7">
        <v>3</v>
      </c>
      <c r="L14" s="7">
        <v>40</v>
      </c>
      <c r="M14" s="7" t="s">
        <v>22</v>
      </c>
      <c r="N14" s="7" t="s">
        <v>23</v>
      </c>
      <c r="O14" s="8">
        <v>-80.8</v>
      </c>
      <c r="P14" s="8">
        <v>111</v>
      </c>
      <c r="Q14" s="8">
        <v>3</v>
      </c>
      <c r="R14" s="8">
        <v>40</v>
      </c>
      <c r="S14" s="8" t="s">
        <v>22</v>
      </c>
      <c r="T14" s="8" t="s">
        <v>23</v>
      </c>
      <c r="U14" s="8" t="s">
        <v>24</v>
      </c>
    </row>
    <row r="15" spans="1:21" x14ac:dyDescent="0.35">
      <c r="A15" s="5">
        <v>13</v>
      </c>
      <c r="B15" s="5">
        <v>8</v>
      </c>
      <c r="C15" s="6">
        <v>109</v>
      </c>
      <c r="D15" s="6">
        <v>3</v>
      </c>
      <c r="E15" s="6">
        <v>40</v>
      </c>
      <c r="F15" s="6" t="s">
        <v>22</v>
      </c>
      <c r="G15" s="6" t="s">
        <v>23</v>
      </c>
      <c r="H15" s="6" t="s">
        <v>29</v>
      </c>
      <c r="I15" s="6" t="s">
        <v>28</v>
      </c>
      <c r="J15" s="7">
        <v>111</v>
      </c>
      <c r="K15" s="7">
        <v>3</v>
      </c>
      <c r="L15" s="7">
        <v>40</v>
      </c>
      <c r="M15" s="7" t="s">
        <v>22</v>
      </c>
      <c r="N15" s="7" t="s">
        <v>23</v>
      </c>
      <c r="O15" s="8">
        <v>-83.8</v>
      </c>
      <c r="P15" s="8">
        <v>83</v>
      </c>
      <c r="Q15" s="8">
        <v>2</v>
      </c>
      <c r="R15" s="8">
        <v>40</v>
      </c>
      <c r="S15" s="8" t="s">
        <v>22</v>
      </c>
      <c r="T15" s="8" t="s">
        <v>23</v>
      </c>
      <c r="U15" s="8" t="s">
        <v>24</v>
      </c>
    </row>
    <row r="16" spans="1:21" x14ac:dyDescent="0.35">
      <c r="A16" s="5">
        <v>14</v>
      </c>
      <c r="B16" s="5">
        <v>5</v>
      </c>
      <c r="C16" s="6">
        <v>58</v>
      </c>
      <c r="D16" s="6">
        <v>1</v>
      </c>
      <c r="E16" s="6">
        <v>40</v>
      </c>
      <c r="F16" s="6" t="s">
        <v>22</v>
      </c>
      <c r="G16" s="6" t="s">
        <v>23</v>
      </c>
      <c r="H16" s="6" t="s">
        <v>33</v>
      </c>
      <c r="I16" s="6" t="s">
        <v>33</v>
      </c>
      <c r="J16" s="7">
        <v>58</v>
      </c>
      <c r="K16" s="7">
        <v>1</v>
      </c>
      <c r="L16" s="7">
        <v>40</v>
      </c>
      <c r="M16" s="7" t="s">
        <v>22</v>
      </c>
      <c r="N16" s="7" t="s">
        <v>23</v>
      </c>
      <c r="O16" s="8">
        <v>-86.2</v>
      </c>
      <c r="P16" s="8">
        <v>53</v>
      </c>
      <c r="Q16" s="8">
        <v>1</v>
      </c>
      <c r="R16" s="8">
        <v>40</v>
      </c>
      <c r="S16" s="8" t="s">
        <v>22</v>
      </c>
      <c r="T16" s="8" t="s">
        <v>23</v>
      </c>
      <c r="U16" s="8" t="s">
        <v>24</v>
      </c>
    </row>
    <row r="17" spans="1:21" x14ac:dyDescent="0.35">
      <c r="A17" s="5">
        <v>15</v>
      </c>
      <c r="B17" s="5">
        <v>2</v>
      </c>
      <c r="C17" s="6">
        <v>29</v>
      </c>
      <c r="D17" s="6">
        <v>0</v>
      </c>
      <c r="E17" s="6">
        <v>40</v>
      </c>
      <c r="F17" s="6" t="s">
        <v>22</v>
      </c>
      <c r="G17" s="6" t="s">
        <v>23</v>
      </c>
      <c r="H17" s="6" t="s">
        <v>25</v>
      </c>
      <c r="I17" s="6" t="s">
        <v>25</v>
      </c>
      <c r="J17" s="7">
        <v>40</v>
      </c>
      <c r="K17" s="7">
        <v>1</v>
      </c>
      <c r="L17" s="7">
        <v>40</v>
      </c>
      <c r="M17" s="7" t="s">
        <v>22</v>
      </c>
      <c r="N17" s="7" t="s">
        <v>35</v>
      </c>
      <c r="O17" s="8">
        <v>-90.7</v>
      </c>
      <c r="P17" s="8">
        <v>18</v>
      </c>
      <c r="Q17" s="8">
        <v>1</v>
      </c>
      <c r="R17" s="8">
        <v>40</v>
      </c>
      <c r="S17" s="8" t="s">
        <v>32</v>
      </c>
      <c r="T17" s="8" t="s">
        <v>23</v>
      </c>
      <c r="U17" s="8" t="s">
        <v>50</v>
      </c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/>
  </sheetViews>
  <sheetFormatPr defaultRowHeight="14.5" x14ac:dyDescent="0.35"/>
  <sheetData>
    <row r="1" spans="1:16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12</v>
      </c>
      <c r="J1" t="s">
        <v>43</v>
      </c>
      <c r="K1" t="s">
        <v>44</v>
      </c>
      <c r="L1" t="s">
        <v>14</v>
      </c>
      <c r="M1" t="s">
        <v>45</v>
      </c>
      <c r="N1" t="s">
        <v>46</v>
      </c>
      <c r="O1" t="s">
        <v>13</v>
      </c>
      <c r="P1" t="s">
        <v>47</v>
      </c>
    </row>
    <row r="2" spans="1:16" x14ac:dyDescent="0.35">
      <c r="A2">
        <v>44</v>
      </c>
      <c r="B2">
        <v>576</v>
      </c>
      <c r="C2">
        <v>578</v>
      </c>
      <c r="D2">
        <v>573</v>
      </c>
      <c r="E2">
        <v>13</v>
      </c>
      <c r="F2">
        <v>13</v>
      </c>
      <c r="G2">
        <v>13</v>
      </c>
      <c r="H2">
        <v>40</v>
      </c>
      <c r="I2">
        <v>40</v>
      </c>
      <c r="J2">
        <v>40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41</v>
      </c>
      <c r="B3">
        <v>577</v>
      </c>
      <c r="C3">
        <v>578</v>
      </c>
      <c r="D3">
        <v>573</v>
      </c>
      <c r="E3">
        <v>13</v>
      </c>
      <c r="F3">
        <v>13</v>
      </c>
      <c r="G3">
        <v>13</v>
      </c>
      <c r="H3">
        <v>40</v>
      </c>
      <c r="I3">
        <v>40</v>
      </c>
      <c r="J3">
        <v>40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38</v>
      </c>
      <c r="B4">
        <v>576</v>
      </c>
      <c r="C4">
        <v>578</v>
      </c>
      <c r="D4">
        <v>569</v>
      </c>
      <c r="E4">
        <v>13</v>
      </c>
      <c r="F4">
        <v>13</v>
      </c>
      <c r="G4">
        <v>13</v>
      </c>
      <c r="H4">
        <v>40</v>
      </c>
      <c r="I4">
        <v>40</v>
      </c>
      <c r="J4">
        <v>40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35</v>
      </c>
      <c r="B5">
        <v>520</v>
      </c>
      <c r="C5">
        <v>523</v>
      </c>
      <c r="D5">
        <v>510</v>
      </c>
      <c r="E5">
        <v>12</v>
      </c>
      <c r="F5">
        <v>12</v>
      </c>
      <c r="G5">
        <v>12</v>
      </c>
      <c r="H5">
        <v>40</v>
      </c>
      <c r="I5">
        <v>40</v>
      </c>
      <c r="J5">
        <v>40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32</v>
      </c>
      <c r="B6">
        <v>482</v>
      </c>
      <c r="C6">
        <v>485</v>
      </c>
      <c r="D6">
        <v>473</v>
      </c>
      <c r="E6">
        <v>11</v>
      </c>
      <c r="F6">
        <v>11</v>
      </c>
      <c r="G6">
        <v>11</v>
      </c>
      <c r="H6">
        <v>40</v>
      </c>
      <c r="I6">
        <v>40</v>
      </c>
      <c r="J6">
        <v>40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29</v>
      </c>
      <c r="B7">
        <v>432</v>
      </c>
      <c r="C7">
        <v>435</v>
      </c>
      <c r="D7">
        <v>420</v>
      </c>
      <c r="E7">
        <v>10</v>
      </c>
      <c r="F7">
        <v>10</v>
      </c>
      <c r="G7">
        <v>10</v>
      </c>
      <c r="H7">
        <v>40</v>
      </c>
      <c r="I7">
        <v>40</v>
      </c>
      <c r="J7">
        <v>40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26</v>
      </c>
      <c r="B8">
        <v>387</v>
      </c>
      <c r="C8">
        <v>390</v>
      </c>
      <c r="D8">
        <v>377</v>
      </c>
      <c r="E8">
        <v>9</v>
      </c>
      <c r="F8">
        <v>9</v>
      </c>
      <c r="G8">
        <v>9</v>
      </c>
      <c r="H8">
        <v>40</v>
      </c>
      <c r="I8">
        <v>40</v>
      </c>
      <c r="J8">
        <v>40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23</v>
      </c>
      <c r="B9">
        <v>346</v>
      </c>
      <c r="C9">
        <v>348</v>
      </c>
      <c r="D9">
        <v>338</v>
      </c>
      <c r="E9">
        <v>8</v>
      </c>
      <c r="F9">
        <v>8</v>
      </c>
      <c r="G9">
        <v>8</v>
      </c>
      <c r="H9">
        <v>40</v>
      </c>
      <c r="I9">
        <v>40</v>
      </c>
      <c r="J9">
        <v>40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20</v>
      </c>
      <c r="B10">
        <v>291</v>
      </c>
      <c r="C10">
        <v>293</v>
      </c>
      <c r="D10">
        <v>283</v>
      </c>
      <c r="E10">
        <v>7</v>
      </c>
      <c r="F10">
        <v>7</v>
      </c>
      <c r="G10">
        <v>7</v>
      </c>
      <c r="H10">
        <v>40</v>
      </c>
      <c r="I10">
        <v>40</v>
      </c>
      <c r="J10">
        <v>40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17</v>
      </c>
      <c r="B11">
        <v>230</v>
      </c>
      <c r="C11">
        <v>234</v>
      </c>
      <c r="D11">
        <v>222</v>
      </c>
      <c r="E11">
        <v>5</v>
      </c>
      <c r="F11">
        <v>5</v>
      </c>
      <c r="G11">
        <v>5</v>
      </c>
      <c r="H11">
        <v>40</v>
      </c>
      <c r="I11">
        <v>40</v>
      </c>
      <c r="J11">
        <v>40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14</v>
      </c>
      <c r="B12">
        <v>174</v>
      </c>
      <c r="C12">
        <v>176</v>
      </c>
      <c r="D12">
        <v>165</v>
      </c>
      <c r="E12">
        <v>4</v>
      </c>
      <c r="F12">
        <v>4</v>
      </c>
      <c r="G12">
        <v>4</v>
      </c>
      <c r="H12">
        <v>40</v>
      </c>
      <c r="I12">
        <v>40</v>
      </c>
      <c r="J12">
        <v>40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11</v>
      </c>
      <c r="B13">
        <v>116</v>
      </c>
      <c r="C13">
        <v>117</v>
      </c>
      <c r="D13">
        <v>111</v>
      </c>
      <c r="E13">
        <v>3</v>
      </c>
      <c r="F13">
        <v>3</v>
      </c>
      <c r="G13">
        <v>3</v>
      </c>
      <c r="H13">
        <v>40</v>
      </c>
      <c r="I13">
        <v>40</v>
      </c>
      <c r="J13">
        <v>40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8</v>
      </c>
      <c r="B14">
        <v>109</v>
      </c>
      <c r="C14">
        <v>111</v>
      </c>
      <c r="D14">
        <v>83</v>
      </c>
      <c r="E14">
        <v>3</v>
      </c>
      <c r="F14">
        <v>3</v>
      </c>
      <c r="G14">
        <v>2</v>
      </c>
      <c r="H14">
        <v>40</v>
      </c>
      <c r="I14">
        <v>40</v>
      </c>
      <c r="J14">
        <v>40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5</v>
      </c>
      <c r="B15">
        <v>58</v>
      </c>
      <c r="C15">
        <v>58</v>
      </c>
      <c r="D15">
        <v>53</v>
      </c>
      <c r="E15">
        <v>1</v>
      </c>
      <c r="F15">
        <v>1</v>
      </c>
      <c r="G15">
        <v>1</v>
      </c>
      <c r="H15">
        <v>40</v>
      </c>
      <c r="I15">
        <v>40</v>
      </c>
      <c r="J15">
        <v>40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2</v>
      </c>
    </row>
    <row r="16" spans="1:16" x14ac:dyDescent="0.35">
      <c r="A16">
        <v>2</v>
      </c>
      <c r="B16">
        <v>29</v>
      </c>
      <c r="C16">
        <v>40</v>
      </c>
      <c r="D16">
        <v>18</v>
      </c>
      <c r="E16">
        <v>0</v>
      </c>
      <c r="F16">
        <v>1</v>
      </c>
      <c r="G16">
        <v>1</v>
      </c>
      <c r="H16">
        <v>40</v>
      </c>
      <c r="I16">
        <v>40</v>
      </c>
      <c r="J16">
        <v>40</v>
      </c>
      <c r="K16">
        <v>0.8</v>
      </c>
      <c r="L16">
        <v>3.2</v>
      </c>
      <c r="M16">
        <v>0.8</v>
      </c>
      <c r="N16">
        <v>2</v>
      </c>
      <c r="O16">
        <v>2</v>
      </c>
      <c r="P16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44</v>
      </c>
      <c r="C3" s="6">
        <v>1215</v>
      </c>
      <c r="D3" s="6">
        <v>13</v>
      </c>
      <c r="E3" s="6">
        <v>80</v>
      </c>
      <c r="F3" s="6" t="s">
        <v>22</v>
      </c>
      <c r="G3" s="6" t="s">
        <v>23</v>
      </c>
      <c r="H3" s="6" t="s">
        <v>24</v>
      </c>
      <c r="I3" s="6" t="s">
        <v>24</v>
      </c>
      <c r="J3" s="7">
        <v>1217</v>
      </c>
      <c r="K3" s="7">
        <v>13</v>
      </c>
      <c r="L3" s="7">
        <v>80</v>
      </c>
      <c r="M3" s="7" t="s">
        <v>22</v>
      </c>
      <c r="N3" s="7" t="s">
        <v>23</v>
      </c>
      <c r="O3" s="8">
        <v>-49.9</v>
      </c>
      <c r="P3" s="8">
        <v>1208</v>
      </c>
      <c r="Q3" s="8">
        <v>13</v>
      </c>
      <c r="R3" s="8">
        <v>80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41</v>
      </c>
      <c r="C4" s="6">
        <v>1215</v>
      </c>
      <c r="D4" s="6">
        <v>13</v>
      </c>
      <c r="E4" s="6">
        <v>80</v>
      </c>
      <c r="F4" s="6" t="s">
        <v>22</v>
      </c>
      <c r="G4" s="6" t="s">
        <v>23</v>
      </c>
      <c r="H4" s="6" t="s">
        <v>24</v>
      </c>
      <c r="I4" s="6" t="s">
        <v>24</v>
      </c>
      <c r="J4" s="7">
        <v>1217</v>
      </c>
      <c r="K4" s="7">
        <v>13</v>
      </c>
      <c r="L4" s="7">
        <v>80</v>
      </c>
      <c r="M4" s="7" t="s">
        <v>22</v>
      </c>
      <c r="N4" s="7" t="s">
        <v>23</v>
      </c>
      <c r="O4" s="8">
        <v>-53</v>
      </c>
      <c r="P4" s="8">
        <v>1207</v>
      </c>
      <c r="Q4" s="8">
        <v>13</v>
      </c>
      <c r="R4" s="8">
        <v>80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38</v>
      </c>
      <c r="C5" s="6">
        <v>1213</v>
      </c>
      <c r="D5" s="6">
        <v>13</v>
      </c>
      <c r="E5" s="6">
        <v>80</v>
      </c>
      <c r="F5" s="6" t="s">
        <v>22</v>
      </c>
      <c r="G5" s="6" t="s">
        <v>23</v>
      </c>
      <c r="H5" s="6" t="s">
        <v>24</v>
      </c>
      <c r="I5" s="6" t="s">
        <v>24</v>
      </c>
      <c r="J5" s="7">
        <v>1215</v>
      </c>
      <c r="K5" s="7">
        <v>13</v>
      </c>
      <c r="L5" s="7">
        <v>80</v>
      </c>
      <c r="M5" s="7" t="s">
        <v>22</v>
      </c>
      <c r="N5" s="7" t="s">
        <v>23</v>
      </c>
      <c r="O5" s="8">
        <v>-56</v>
      </c>
      <c r="P5" s="8">
        <v>1178</v>
      </c>
      <c r="Q5" s="8">
        <v>13</v>
      </c>
      <c r="R5" s="8">
        <v>80</v>
      </c>
      <c r="S5" s="8" t="s">
        <v>22</v>
      </c>
      <c r="T5" s="8" t="s">
        <v>23</v>
      </c>
      <c r="U5" s="8" t="s">
        <v>26</v>
      </c>
    </row>
    <row r="6" spans="1:21" x14ac:dyDescent="0.35">
      <c r="A6" s="5">
        <v>4</v>
      </c>
      <c r="B6" s="5">
        <v>35</v>
      </c>
      <c r="C6" s="6">
        <v>1098</v>
      </c>
      <c r="D6" s="6">
        <v>12</v>
      </c>
      <c r="E6" s="6">
        <v>80</v>
      </c>
      <c r="F6" s="6" t="s">
        <v>22</v>
      </c>
      <c r="G6" s="6" t="s">
        <v>23</v>
      </c>
      <c r="H6" s="6" t="s">
        <v>24</v>
      </c>
      <c r="I6" s="6" t="s">
        <v>24</v>
      </c>
      <c r="J6" s="7">
        <v>1101</v>
      </c>
      <c r="K6" s="7">
        <v>12</v>
      </c>
      <c r="L6" s="7">
        <v>80</v>
      </c>
      <c r="M6" s="7" t="s">
        <v>22</v>
      </c>
      <c r="N6" s="7" t="s">
        <v>23</v>
      </c>
      <c r="O6" s="8">
        <v>-59</v>
      </c>
      <c r="P6" s="8">
        <v>1074</v>
      </c>
      <c r="Q6" s="8">
        <v>12</v>
      </c>
      <c r="R6" s="8">
        <v>80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32</v>
      </c>
      <c r="C7" s="6">
        <v>1015</v>
      </c>
      <c r="D7" s="6">
        <v>11</v>
      </c>
      <c r="E7" s="6">
        <v>80</v>
      </c>
      <c r="F7" s="6" t="s">
        <v>22</v>
      </c>
      <c r="G7" s="6" t="s">
        <v>23</v>
      </c>
      <c r="H7" s="6" t="s">
        <v>25</v>
      </c>
      <c r="I7" s="6" t="s">
        <v>25</v>
      </c>
      <c r="J7" s="7">
        <v>1019</v>
      </c>
      <c r="K7" s="7">
        <v>11</v>
      </c>
      <c r="L7" s="7">
        <v>80</v>
      </c>
      <c r="M7" s="7" t="s">
        <v>22</v>
      </c>
      <c r="N7" s="7" t="s">
        <v>23</v>
      </c>
      <c r="O7" s="8">
        <v>-62</v>
      </c>
      <c r="P7" s="8">
        <v>992</v>
      </c>
      <c r="Q7" s="8">
        <v>11</v>
      </c>
      <c r="R7" s="8">
        <v>80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29</v>
      </c>
      <c r="C8" s="6">
        <v>877</v>
      </c>
      <c r="D8" s="6">
        <v>10</v>
      </c>
      <c r="E8" s="6">
        <v>80</v>
      </c>
      <c r="F8" s="6" t="s">
        <v>22</v>
      </c>
      <c r="G8" s="6" t="s">
        <v>23</v>
      </c>
      <c r="H8" s="6" t="s">
        <v>34</v>
      </c>
      <c r="I8" s="6" t="s">
        <v>26</v>
      </c>
      <c r="J8" s="7">
        <v>887</v>
      </c>
      <c r="K8" s="7">
        <v>10</v>
      </c>
      <c r="L8" s="7">
        <v>80</v>
      </c>
      <c r="M8" s="7" t="s">
        <v>22</v>
      </c>
      <c r="N8" s="7" t="s">
        <v>23</v>
      </c>
      <c r="O8" s="8">
        <v>-65</v>
      </c>
      <c r="P8" s="8">
        <v>896</v>
      </c>
      <c r="Q8" s="8">
        <v>10</v>
      </c>
      <c r="R8" s="8">
        <v>80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26</v>
      </c>
      <c r="C9" s="6">
        <v>807</v>
      </c>
      <c r="D9" s="6">
        <v>9</v>
      </c>
      <c r="E9" s="6">
        <v>80</v>
      </c>
      <c r="F9" s="6" t="s">
        <v>22</v>
      </c>
      <c r="G9" s="6" t="s">
        <v>23</v>
      </c>
      <c r="H9" s="6" t="s">
        <v>25</v>
      </c>
      <c r="I9" s="6" t="s">
        <v>25</v>
      </c>
      <c r="J9" s="7">
        <v>810</v>
      </c>
      <c r="K9" s="7">
        <v>9</v>
      </c>
      <c r="L9" s="7">
        <v>80</v>
      </c>
      <c r="M9" s="7" t="s">
        <v>22</v>
      </c>
      <c r="N9" s="7" t="s">
        <v>23</v>
      </c>
      <c r="O9" s="8">
        <v>-68</v>
      </c>
      <c r="P9" s="8">
        <v>794</v>
      </c>
      <c r="Q9" s="8">
        <v>9</v>
      </c>
      <c r="R9" s="8">
        <v>80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23</v>
      </c>
      <c r="C10" s="6">
        <v>670</v>
      </c>
      <c r="D10" s="6">
        <v>8</v>
      </c>
      <c r="E10" s="6">
        <v>80</v>
      </c>
      <c r="F10" s="6" t="s">
        <v>22</v>
      </c>
      <c r="G10" s="6" t="s">
        <v>23</v>
      </c>
      <c r="H10" s="6" t="s">
        <v>52</v>
      </c>
      <c r="I10" s="6" t="s">
        <v>26</v>
      </c>
      <c r="J10" s="7">
        <v>682</v>
      </c>
      <c r="K10" s="7">
        <v>8</v>
      </c>
      <c r="L10" s="7">
        <v>80</v>
      </c>
      <c r="M10" s="7" t="s">
        <v>22</v>
      </c>
      <c r="N10" s="7" t="s">
        <v>23</v>
      </c>
      <c r="O10" s="8">
        <v>-70.900000000000006</v>
      </c>
      <c r="P10" s="8">
        <v>715</v>
      </c>
      <c r="Q10" s="8">
        <v>8</v>
      </c>
      <c r="R10" s="8">
        <v>80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20</v>
      </c>
      <c r="C11" s="6">
        <v>600</v>
      </c>
      <c r="D11" s="6">
        <v>7</v>
      </c>
      <c r="E11" s="6">
        <v>80</v>
      </c>
      <c r="F11" s="6" t="s">
        <v>22</v>
      </c>
      <c r="G11" s="6" t="s">
        <v>23</v>
      </c>
      <c r="H11" s="6" t="s">
        <v>26</v>
      </c>
      <c r="I11" s="6" t="s">
        <v>25</v>
      </c>
      <c r="J11" s="7">
        <v>603</v>
      </c>
      <c r="K11" s="7">
        <v>7</v>
      </c>
      <c r="L11" s="7">
        <v>80</v>
      </c>
      <c r="M11" s="7" t="s">
        <v>22</v>
      </c>
      <c r="N11" s="7" t="s">
        <v>23</v>
      </c>
      <c r="O11" s="8">
        <v>-74</v>
      </c>
      <c r="P11" s="8">
        <v>597</v>
      </c>
      <c r="Q11" s="8">
        <v>7</v>
      </c>
      <c r="R11" s="8">
        <v>80</v>
      </c>
      <c r="S11" s="8" t="s">
        <v>22</v>
      </c>
      <c r="T11" s="8" t="s">
        <v>23</v>
      </c>
      <c r="U11" s="8" t="s">
        <v>24</v>
      </c>
    </row>
    <row r="12" spans="1:21" x14ac:dyDescent="0.35">
      <c r="A12" s="5">
        <v>10</v>
      </c>
      <c r="B12" s="5">
        <v>17</v>
      </c>
      <c r="C12" s="6">
        <v>488</v>
      </c>
      <c r="D12" s="6">
        <v>5</v>
      </c>
      <c r="E12" s="6">
        <v>80</v>
      </c>
      <c r="F12" s="6" t="s">
        <v>22</v>
      </c>
      <c r="G12" s="6" t="s">
        <v>23</v>
      </c>
      <c r="H12" s="6" t="s">
        <v>25</v>
      </c>
      <c r="I12" s="6" t="s">
        <v>25</v>
      </c>
      <c r="J12" s="7">
        <v>490</v>
      </c>
      <c r="K12" s="7">
        <v>5</v>
      </c>
      <c r="L12" s="7">
        <v>80</v>
      </c>
      <c r="M12" s="7" t="s">
        <v>22</v>
      </c>
      <c r="N12" s="7" t="s">
        <v>23</v>
      </c>
      <c r="O12" s="8">
        <v>-77</v>
      </c>
      <c r="P12" s="8">
        <v>469</v>
      </c>
      <c r="Q12" s="8">
        <v>5</v>
      </c>
      <c r="R12" s="8">
        <v>80</v>
      </c>
      <c r="S12" s="8" t="s">
        <v>22</v>
      </c>
      <c r="T12" s="8" t="s">
        <v>23</v>
      </c>
      <c r="U12" s="8" t="s">
        <v>24</v>
      </c>
    </row>
    <row r="13" spans="1:21" x14ac:dyDescent="0.35">
      <c r="A13" s="5">
        <v>11</v>
      </c>
      <c r="B13" s="5">
        <v>14</v>
      </c>
      <c r="C13" s="6">
        <v>366</v>
      </c>
      <c r="D13" s="6">
        <v>4</v>
      </c>
      <c r="E13" s="6">
        <v>80</v>
      </c>
      <c r="F13" s="6" t="s">
        <v>22</v>
      </c>
      <c r="G13" s="6" t="s">
        <v>23</v>
      </c>
      <c r="H13" s="6" t="s">
        <v>25</v>
      </c>
      <c r="I13" s="6" t="s">
        <v>25</v>
      </c>
      <c r="J13" s="7">
        <v>368</v>
      </c>
      <c r="K13" s="7">
        <v>4</v>
      </c>
      <c r="L13" s="7">
        <v>80</v>
      </c>
      <c r="M13" s="7" t="s">
        <v>22</v>
      </c>
      <c r="N13" s="7" t="s">
        <v>23</v>
      </c>
      <c r="O13" s="8">
        <v>-79.8</v>
      </c>
      <c r="P13" s="8">
        <v>351</v>
      </c>
      <c r="Q13" s="8">
        <v>4</v>
      </c>
      <c r="R13" s="8">
        <v>80</v>
      </c>
      <c r="S13" s="8" t="s">
        <v>22</v>
      </c>
      <c r="T13" s="8" t="s">
        <v>23</v>
      </c>
      <c r="U13" s="8" t="s">
        <v>24</v>
      </c>
    </row>
    <row r="14" spans="1:21" x14ac:dyDescent="0.35">
      <c r="A14" s="5">
        <v>12</v>
      </c>
      <c r="B14" s="5">
        <v>11</v>
      </c>
      <c r="C14" s="6">
        <v>243</v>
      </c>
      <c r="D14" s="6">
        <v>3</v>
      </c>
      <c r="E14" s="6">
        <v>80</v>
      </c>
      <c r="F14" s="6" t="s">
        <v>22</v>
      </c>
      <c r="G14" s="6" t="s">
        <v>23</v>
      </c>
      <c r="H14" s="6" t="s">
        <v>25</v>
      </c>
      <c r="I14" s="6" t="s">
        <v>25</v>
      </c>
      <c r="J14" s="7">
        <v>245</v>
      </c>
      <c r="K14" s="7">
        <v>3</v>
      </c>
      <c r="L14" s="7">
        <v>80</v>
      </c>
      <c r="M14" s="7" t="s">
        <v>22</v>
      </c>
      <c r="N14" s="7" t="s">
        <v>23</v>
      </c>
      <c r="O14" s="8">
        <v>-82.2</v>
      </c>
      <c r="P14" s="8">
        <v>229</v>
      </c>
      <c r="Q14" s="8">
        <v>3</v>
      </c>
      <c r="R14" s="8">
        <v>80</v>
      </c>
      <c r="S14" s="8" t="s">
        <v>22</v>
      </c>
      <c r="T14" s="8" t="s">
        <v>23</v>
      </c>
      <c r="U14" s="8" t="s">
        <v>24</v>
      </c>
    </row>
    <row r="15" spans="1:21" x14ac:dyDescent="0.35">
      <c r="A15" s="5">
        <v>13</v>
      </c>
      <c r="B15" s="5">
        <v>8</v>
      </c>
      <c r="C15" s="6">
        <v>182</v>
      </c>
      <c r="D15" s="6">
        <v>2</v>
      </c>
      <c r="E15" s="6">
        <v>80</v>
      </c>
      <c r="F15" s="6" t="s">
        <v>22</v>
      </c>
      <c r="G15" s="6" t="s">
        <v>23</v>
      </c>
      <c r="H15" s="6" t="s">
        <v>33</v>
      </c>
      <c r="I15" s="6" t="s">
        <v>53</v>
      </c>
      <c r="J15" s="7">
        <v>184</v>
      </c>
      <c r="K15" s="7">
        <v>2</v>
      </c>
      <c r="L15" s="7">
        <v>80</v>
      </c>
      <c r="M15" s="7" t="s">
        <v>22</v>
      </c>
      <c r="N15" s="7" t="s">
        <v>23</v>
      </c>
      <c r="O15" s="8">
        <v>-86.6</v>
      </c>
      <c r="P15" s="8">
        <v>112</v>
      </c>
      <c r="Q15" s="8">
        <v>1</v>
      </c>
      <c r="R15" s="8">
        <v>80</v>
      </c>
      <c r="S15" s="8" t="s">
        <v>22</v>
      </c>
      <c r="T15" s="8" t="s">
        <v>23</v>
      </c>
      <c r="U15" s="8" t="s">
        <v>24</v>
      </c>
    </row>
    <row r="16" spans="1:21" x14ac:dyDescent="0.35">
      <c r="A16" s="5">
        <v>14</v>
      </c>
      <c r="B16" s="5">
        <v>5</v>
      </c>
      <c r="C16" s="6">
        <v>121</v>
      </c>
      <c r="D16" s="6">
        <v>1</v>
      </c>
      <c r="E16" s="6">
        <v>80</v>
      </c>
      <c r="F16" s="6" t="s">
        <v>22</v>
      </c>
      <c r="G16" s="6" t="s">
        <v>23</v>
      </c>
      <c r="H16" s="6" t="s">
        <v>28</v>
      </c>
      <c r="I16" s="6" t="s">
        <v>28</v>
      </c>
      <c r="J16" s="7">
        <v>122</v>
      </c>
      <c r="K16" s="7">
        <v>1</v>
      </c>
      <c r="L16" s="7">
        <v>80</v>
      </c>
      <c r="M16" s="7" t="s">
        <v>22</v>
      </c>
      <c r="N16" s="7" t="s">
        <v>23</v>
      </c>
      <c r="O16" s="8">
        <v>-89</v>
      </c>
      <c r="P16" s="8">
        <v>0</v>
      </c>
      <c r="Q16" s="8"/>
      <c r="R16" s="8">
        <v>20</v>
      </c>
      <c r="S16" s="8" t="s">
        <v>32</v>
      </c>
      <c r="T16" s="8" t="s">
        <v>23</v>
      </c>
      <c r="U16" s="8" t="s">
        <v>54</v>
      </c>
    </row>
    <row r="17" spans="1:21" x14ac:dyDescent="0.35">
      <c r="A17" s="5">
        <v>15</v>
      </c>
      <c r="B17" s="5">
        <v>2</v>
      </c>
      <c r="C17" s="6">
        <v>61</v>
      </c>
      <c r="D17" s="6">
        <v>0</v>
      </c>
      <c r="E17" s="6">
        <v>80</v>
      </c>
      <c r="F17" s="6" t="s">
        <v>22</v>
      </c>
      <c r="G17" s="6" t="s">
        <v>23</v>
      </c>
      <c r="H17" s="6" t="s">
        <v>26</v>
      </c>
      <c r="I17" s="6" t="s">
        <v>26</v>
      </c>
      <c r="J17" s="7">
        <v>70</v>
      </c>
      <c r="K17" s="7">
        <v>2</v>
      </c>
      <c r="L17" s="7">
        <v>80</v>
      </c>
      <c r="M17" s="7" t="s">
        <v>32</v>
      </c>
      <c r="N17" s="7" t="s">
        <v>35</v>
      </c>
      <c r="O17" s="8">
        <v>-89</v>
      </c>
      <c r="P17" s="8">
        <v>0</v>
      </c>
      <c r="Q17" s="8"/>
      <c r="R17" s="8">
        <v>20</v>
      </c>
      <c r="S17" s="8" t="s">
        <v>32</v>
      </c>
      <c r="T17" s="8" t="s">
        <v>23</v>
      </c>
      <c r="U17" s="8" t="s">
        <v>54</v>
      </c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/>
  </sheetViews>
  <sheetFormatPr defaultRowHeight="14.5" x14ac:dyDescent="0.35"/>
  <sheetData>
    <row r="1" spans="1:16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12</v>
      </c>
      <c r="J1" t="s">
        <v>43</v>
      </c>
      <c r="K1" t="s">
        <v>44</v>
      </c>
      <c r="L1" t="s">
        <v>14</v>
      </c>
      <c r="M1" t="s">
        <v>45</v>
      </c>
      <c r="N1" t="s">
        <v>46</v>
      </c>
      <c r="O1" t="s">
        <v>13</v>
      </c>
      <c r="P1" t="s">
        <v>47</v>
      </c>
    </row>
    <row r="2" spans="1:16" x14ac:dyDescent="0.35">
      <c r="A2">
        <v>44</v>
      </c>
      <c r="B2">
        <v>1215</v>
      </c>
      <c r="C2">
        <v>1217</v>
      </c>
      <c r="D2">
        <v>1208</v>
      </c>
      <c r="E2">
        <v>13</v>
      </c>
      <c r="F2">
        <v>13</v>
      </c>
      <c r="G2">
        <v>13</v>
      </c>
      <c r="H2">
        <v>80</v>
      </c>
      <c r="I2">
        <v>80</v>
      </c>
      <c r="J2">
        <v>80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41</v>
      </c>
      <c r="B3">
        <v>1215</v>
      </c>
      <c r="C3">
        <v>1217</v>
      </c>
      <c r="D3">
        <v>1207</v>
      </c>
      <c r="E3">
        <v>13</v>
      </c>
      <c r="F3">
        <v>13</v>
      </c>
      <c r="G3">
        <v>13</v>
      </c>
      <c r="H3">
        <v>80</v>
      </c>
      <c r="I3">
        <v>80</v>
      </c>
      <c r="J3">
        <v>80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38</v>
      </c>
      <c r="B4">
        <v>1213</v>
      </c>
      <c r="C4">
        <v>1215</v>
      </c>
      <c r="D4">
        <v>1178</v>
      </c>
      <c r="E4">
        <v>13</v>
      </c>
      <c r="F4">
        <v>13</v>
      </c>
      <c r="G4">
        <v>13</v>
      </c>
      <c r="H4">
        <v>80</v>
      </c>
      <c r="I4">
        <v>80</v>
      </c>
      <c r="J4">
        <v>80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35</v>
      </c>
      <c r="B5">
        <v>1098</v>
      </c>
      <c r="C5">
        <v>1101</v>
      </c>
      <c r="D5">
        <v>1074</v>
      </c>
      <c r="E5">
        <v>12</v>
      </c>
      <c r="F5">
        <v>12</v>
      </c>
      <c r="G5">
        <v>12</v>
      </c>
      <c r="H5">
        <v>80</v>
      </c>
      <c r="I5">
        <v>80</v>
      </c>
      <c r="J5">
        <v>80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32</v>
      </c>
      <c r="B6">
        <v>1015</v>
      </c>
      <c r="C6">
        <v>1019</v>
      </c>
      <c r="D6">
        <v>992</v>
      </c>
      <c r="E6">
        <v>11</v>
      </c>
      <c r="F6">
        <v>11</v>
      </c>
      <c r="G6">
        <v>11</v>
      </c>
      <c r="H6">
        <v>80</v>
      </c>
      <c r="I6">
        <v>80</v>
      </c>
      <c r="J6">
        <v>80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29</v>
      </c>
      <c r="B7">
        <v>877</v>
      </c>
      <c r="C7">
        <v>887</v>
      </c>
      <c r="D7">
        <v>896</v>
      </c>
      <c r="E7">
        <v>10</v>
      </c>
      <c r="F7">
        <v>10</v>
      </c>
      <c r="G7">
        <v>10</v>
      </c>
      <c r="H7">
        <v>80</v>
      </c>
      <c r="I7">
        <v>80</v>
      </c>
      <c r="J7">
        <v>80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26</v>
      </c>
      <c r="B8">
        <v>807</v>
      </c>
      <c r="C8">
        <v>810</v>
      </c>
      <c r="D8">
        <v>794</v>
      </c>
      <c r="E8">
        <v>9</v>
      </c>
      <c r="F8">
        <v>9</v>
      </c>
      <c r="G8">
        <v>9</v>
      </c>
      <c r="H8">
        <v>80</v>
      </c>
      <c r="I8">
        <v>80</v>
      </c>
      <c r="J8">
        <v>80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23</v>
      </c>
      <c r="B9">
        <v>670</v>
      </c>
      <c r="C9">
        <v>682</v>
      </c>
      <c r="D9">
        <v>715</v>
      </c>
      <c r="E9">
        <v>8</v>
      </c>
      <c r="F9">
        <v>8</v>
      </c>
      <c r="G9">
        <v>8</v>
      </c>
      <c r="H9">
        <v>80</v>
      </c>
      <c r="I9">
        <v>80</v>
      </c>
      <c r="J9">
        <v>80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20</v>
      </c>
      <c r="B10">
        <v>600</v>
      </c>
      <c r="C10">
        <v>603</v>
      </c>
      <c r="D10">
        <v>597</v>
      </c>
      <c r="E10">
        <v>7</v>
      </c>
      <c r="F10">
        <v>7</v>
      </c>
      <c r="G10">
        <v>7</v>
      </c>
      <c r="H10">
        <v>80</v>
      </c>
      <c r="I10">
        <v>80</v>
      </c>
      <c r="J10">
        <v>80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17</v>
      </c>
      <c r="B11">
        <v>488</v>
      </c>
      <c r="C11">
        <v>490</v>
      </c>
      <c r="D11">
        <v>469</v>
      </c>
      <c r="E11">
        <v>5</v>
      </c>
      <c r="F11">
        <v>5</v>
      </c>
      <c r="G11">
        <v>5</v>
      </c>
      <c r="H11">
        <v>80</v>
      </c>
      <c r="I11">
        <v>80</v>
      </c>
      <c r="J11">
        <v>80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14</v>
      </c>
      <c r="B12">
        <v>366</v>
      </c>
      <c r="C12">
        <v>368</v>
      </c>
      <c r="D12">
        <v>351</v>
      </c>
      <c r="E12">
        <v>4</v>
      </c>
      <c r="F12">
        <v>4</v>
      </c>
      <c r="G12">
        <v>4</v>
      </c>
      <c r="H12">
        <v>80</v>
      </c>
      <c r="I12">
        <v>80</v>
      </c>
      <c r="J12">
        <v>80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11</v>
      </c>
      <c r="B13">
        <v>243</v>
      </c>
      <c r="C13">
        <v>245</v>
      </c>
      <c r="D13">
        <v>229</v>
      </c>
      <c r="E13">
        <v>3</v>
      </c>
      <c r="F13">
        <v>3</v>
      </c>
      <c r="G13">
        <v>3</v>
      </c>
      <c r="H13">
        <v>80</v>
      </c>
      <c r="I13">
        <v>80</v>
      </c>
      <c r="J13">
        <v>80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8</v>
      </c>
      <c r="B14">
        <v>182</v>
      </c>
      <c r="C14">
        <v>184</v>
      </c>
      <c r="D14">
        <v>112</v>
      </c>
      <c r="E14">
        <v>2</v>
      </c>
      <c r="F14">
        <v>2</v>
      </c>
      <c r="G14">
        <v>1</v>
      </c>
      <c r="H14">
        <v>80</v>
      </c>
      <c r="I14">
        <v>80</v>
      </c>
      <c r="J14">
        <v>80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5</v>
      </c>
      <c r="B15">
        <v>121</v>
      </c>
      <c r="C15">
        <v>122</v>
      </c>
      <c r="D15">
        <v>0</v>
      </c>
      <c r="E15">
        <v>1</v>
      </c>
      <c r="F15">
        <v>1</v>
      </c>
      <c r="H15">
        <v>80</v>
      </c>
      <c r="I15">
        <v>80</v>
      </c>
      <c r="J15">
        <v>20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1</v>
      </c>
    </row>
    <row r="16" spans="1:16" x14ac:dyDescent="0.35">
      <c r="A16">
        <v>2</v>
      </c>
      <c r="B16">
        <v>61</v>
      </c>
      <c r="C16">
        <v>70</v>
      </c>
      <c r="D16">
        <v>0</v>
      </c>
      <c r="E16">
        <v>0</v>
      </c>
      <c r="F16">
        <v>2</v>
      </c>
      <c r="H16">
        <v>80</v>
      </c>
      <c r="I16">
        <v>80</v>
      </c>
      <c r="J16">
        <v>20</v>
      </c>
      <c r="K16">
        <v>0.8</v>
      </c>
      <c r="L16">
        <v>3.2</v>
      </c>
      <c r="M16">
        <v>0.8</v>
      </c>
      <c r="N16">
        <v>2</v>
      </c>
      <c r="O16">
        <v>1</v>
      </c>
      <c r="P16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44</v>
      </c>
      <c r="C3" s="6">
        <v>2561</v>
      </c>
      <c r="D3" s="6">
        <v>13</v>
      </c>
      <c r="E3" s="6">
        <v>160</v>
      </c>
      <c r="F3" s="6" t="s">
        <v>22</v>
      </c>
      <c r="G3" s="6" t="s">
        <v>23</v>
      </c>
      <c r="H3" s="6" t="s">
        <v>24</v>
      </c>
      <c r="I3" s="6" t="s">
        <v>24</v>
      </c>
      <c r="J3" s="7">
        <v>2563</v>
      </c>
      <c r="K3" s="7">
        <v>13</v>
      </c>
      <c r="L3" s="7">
        <v>160</v>
      </c>
      <c r="M3" s="7" t="s">
        <v>22</v>
      </c>
      <c r="N3" s="7" t="s">
        <v>23</v>
      </c>
      <c r="O3" s="8">
        <v>-44.8</v>
      </c>
      <c r="P3" s="8">
        <v>2422</v>
      </c>
      <c r="Q3" s="8">
        <v>13</v>
      </c>
      <c r="R3" s="8">
        <v>160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41</v>
      </c>
      <c r="C4" s="6">
        <v>2561</v>
      </c>
      <c r="D4" s="6">
        <v>13</v>
      </c>
      <c r="E4" s="6">
        <v>160</v>
      </c>
      <c r="F4" s="6" t="s">
        <v>22</v>
      </c>
      <c r="G4" s="6" t="s">
        <v>23</v>
      </c>
      <c r="H4" s="6" t="s">
        <v>24</v>
      </c>
      <c r="I4" s="6" t="s">
        <v>24</v>
      </c>
      <c r="J4" s="7">
        <v>2563</v>
      </c>
      <c r="K4" s="7">
        <v>13</v>
      </c>
      <c r="L4" s="7">
        <v>160</v>
      </c>
      <c r="M4" s="7" t="s">
        <v>22</v>
      </c>
      <c r="N4" s="7" t="s">
        <v>23</v>
      </c>
      <c r="O4" s="8">
        <v>-47</v>
      </c>
      <c r="P4" s="8">
        <v>2425</v>
      </c>
      <c r="Q4" s="8">
        <v>13</v>
      </c>
      <c r="R4" s="8">
        <v>160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38</v>
      </c>
      <c r="C5" s="6">
        <v>2561</v>
      </c>
      <c r="D5" s="6">
        <v>13</v>
      </c>
      <c r="E5" s="6">
        <v>160</v>
      </c>
      <c r="F5" s="6" t="s">
        <v>22</v>
      </c>
      <c r="G5" s="6" t="s">
        <v>23</v>
      </c>
      <c r="H5" s="6" t="s">
        <v>24</v>
      </c>
      <c r="I5" s="6" t="s">
        <v>24</v>
      </c>
      <c r="J5" s="7">
        <v>2563</v>
      </c>
      <c r="K5" s="7">
        <v>13</v>
      </c>
      <c r="L5" s="7">
        <v>160</v>
      </c>
      <c r="M5" s="7" t="s">
        <v>22</v>
      </c>
      <c r="N5" s="7" t="s">
        <v>23</v>
      </c>
      <c r="O5" s="8">
        <v>-51</v>
      </c>
      <c r="P5" s="8">
        <v>2343</v>
      </c>
      <c r="Q5" s="8">
        <v>13</v>
      </c>
      <c r="R5" s="8">
        <v>160</v>
      </c>
      <c r="S5" s="8" t="s">
        <v>22</v>
      </c>
      <c r="T5" s="8" t="s">
        <v>23</v>
      </c>
      <c r="U5" s="8" t="s">
        <v>26</v>
      </c>
    </row>
    <row r="6" spans="1:21" x14ac:dyDescent="0.35">
      <c r="A6" s="5">
        <v>4</v>
      </c>
      <c r="B6" s="5">
        <v>35</v>
      </c>
      <c r="C6" s="6">
        <v>2303</v>
      </c>
      <c r="D6" s="6">
        <v>12</v>
      </c>
      <c r="E6" s="6">
        <v>160</v>
      </c>
      <c r="F6" s="6" t="s">
        <v>22</v>
      </c>
      <c r="G6" s="6" t="s">
        <v>23</v>
      </c>
      <c r="H6" s="6" t="s">
        <v>25</v>
      </c>
      <c r="I6" s="6" t="s">
        <v>26</v>
      </c>
      <c r="J6" s="7">
        <v>2318</v>
      </c>
      <c r="K6" s="7">
        <v>12</v>
      </c>
      <c r="L6" s="7">
        <v>160</v>
      </c>
      <c r="M6" s="7" t="s">
        <v>22</v>
      </c>
      <c r="N6" s="7" t="s">
        <v>23</v>
      </c>
      <c r="O6" s="8">
        <v>-54</v>
      </c>
      <c r="P6" s="8">
        <v>2154</v>
      </c>
      <c r="Q6" s="8">
        <v>12</v>
      </c>
      <c r="R6" s="8">
        <v>160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32</v>
      </c>
      <c r="C7" s="6">
        <v>2039</v>
      </c>
      <c r="D7" s="6">
        <v>11</v>
      </c>
      <c r="E7" s="6">
        <v>160</v>
      </c>
      <c r="F7" s="6" t="s">
        <v>22</v>
      </c>
      <c r="G7" s="6" t="s">
        <v>23</v>
      </c>
      <c r="H7" s="6" t="s">
        <v>24</v>
      </c>
      <c r="I7" s="6" t="s">
        <v>24</v>
      </c>
      <c r="J7" s="7">
        <v>2042</v>
      </c>
      <c r="K7" s="7">
        <v>11</v>
      </c>
      <c r="L7" s="7">
        <v>160</v>
      </c>
      <c r="M7" s="7" t="s">
        <v>22</v>
      </c>
      <c r="N7" s="7" t="s">
        <v>23</v>
      </c>
      <c r="O7" s="8">
        <v>-57</v>
      </c>
      <c r="P7" s="8">
        <v>1987</v>
      </c>
      <c r="Q7" s="8">
        <v>11</v>
      </c>
      <c r="R7" s="8">
        <v>160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29</v>
      </c>
      <c r="C8" s="6">
        <v>1830</v>
      </c>
      <c r="D8" s="6">
        <v>10</v>
      </c>
      <c r="E8" s="6">
        <v>160</v>
      </c>
      <c r="F8" s="6" t="s">
        <v>22</v>
      </c>
      <c r="G8" s="6" t="s">
        <v>23</v>
      </c>
      <c r="H8" s="6" t="s">
        <v>24</v>
      </c>
      <c r="I8" s="6" t="s">
        <v>24</v>
      </c>
      <c r="J8" s="7">
        <v>1834</v>
      </c>
      <c r="K8" s="7">
        <v>10</v>
      </c>
      <c r="L8" s="7">
        <v>160</v>
      </c>
      <c r="M8" s="7" t="s">
        <v>22</v>
      </c>
      <c r="N8" s="7" t="s">
        <v>23</v>
      </c>
      <c r="O8" s="8">
        <v>-60</v>
      </c>
      <c r="P8" s="8">
        <v>1796</v>
      </c>
      <c r="Q8" s="8">
        <v>10</v>
      </c>
      <c r="R8" s="8">
        <v>160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26</v>
      </c>
      <c r="C9" s="6">
        <v>1631</v>
      </c>
      <c r="D9" s="6">
        <v>9</v>
      </c>
      <c r="E9" s="6">
        <v>160</v>
      </c>
      <c r="F9" s="6" t="s">
        <v>22</v>
      </c>
      <c r="G9" s="6" t="s">
        <v>23</v>
      </c>
      <c r="H9" s="6" t="s">
        <v>24</v>
      </c>
      <c r="I9" s="6" t="s">
        <v>24</v>
      </c>
      <c r="J9" s="7">
        <v>1633</v>
      </c>
      <c r="K9" s="7">
        <v>9</v>
      </c>
      <c r="L9" s="7">
        <v>160</v>
      </c>
      <c r="M9" s="7" t="s">
        <v>22</v>
      </c>
      <c r="N9" s="7" t="s">
        <v>23</v>
      </c>
      <c r="O9" s="8">
        <v>-63</v>
      </c>
      <c r="P9" s="8">
        <v>1595</v>
      </c>
      <c r="Q9" s="8">
        <v>9</v>
      </c>
      <c r="R9" s="8">
        <v>160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23</v>
      </c>
      <c r="C10" s="6">
        <v>1460</v>
      </c>
      <c r="D10" s="6">
        <v>8</v>
      </c>
      <c r="E10" s="6">
        <v>160</v>
      </c>
      <c r="F10" s="6" t="s">
        <v>22</v>
      </c>
      <c r="G10" s="6" t="s">
        <v>23</v>
      </c>
      <c r="H10" s="6" t="s">
        <v>25</v>
      </c>
      <c r="I10" s="6" t="s">
        <v>24</v>
      </c>
      <c r="J10" s="7">
        <v>1464</v>
      </c>
      <c r="K10" s="7">
        <v>8</v>
      </c>
      <c r="L10" s="7">
        <v>160</v>
      </c>
      <c r="M10" s="7" t="s">
        <v>22</v>
      </c>
      <c r="N10" s="7" t="s">
        <v>23</v>
      </c>
      <c r="O10" s="8">
        <v>-65.900000000000006</v>
      </c>
      <c r="P10" s="8">
        <v>1243</v>
      </c>
      <c r="Q10" s="8">
        <v>8</v>
      </c>
      <c r="R10" s="8">
        <v>160</v>
      </c>
      <c r="S10" s="8" t="s">
        <v>22</v>
      </c>
      <c r="T10" s="8" t="s">
        <v>23</v>
      </c>
      <c r="U10" s="8" t="s">
        <v>29</v>
      </c>
    </row>
    <row r="11" spans="1:21" x14ac:dyDescent="0.35">
      <c r="A11" s="5">
        <v>9</v>
      </c>
      <c r="B11" s="5">
        <v>20</v>
      </c>
      <c r="C11" s="6">
        <v>1220</v>
      </c>
      <c r="D11" s="6">
        <v>7</v>
      </c>
      <c r="E11" s="6">
        <v>160</v>
      </c>
      <c r="F11" s="6" t="s">
        <v>22</v>
      </c>
      <c r="G11" s="6" t="s">
        <v>23</v>
      </c>
      <c r="H11" s="6" t="s">
        <v>25</v>
      </c>
      <c r="I11" s="6" t="s">
        <v>24</v>
      </c>
      <c r="J11" s="7">
        <v>1223</v>
      </c>
      <c r="K11" s="7">
        <v>7</v>
      </c>
      <c r="L11" s="7">
        <v>160</v>
      </c>
      <c r="M11" s="7" t="s">
        <v>22</v>
      </c>
      <c r="N11" s="7" t="s">
        <v>23</v>
      </c>
      <c r="O11" s="8">
        <v>-69</v>
      </c>
      <c r="P11" s="8">
        <v>1150</v>
      </c>
      <c r="Q11" s="8">
        <v>7</v>
      </c>
      <c r="R11" s="8">
        <v>160</v>
      </c>
      <c r="S11" s="8" t="s">
        <v>22</v>
      </c>
      <c r="T11" s="8" t="s">
        <v>23</v>
      </c>
      <c r="U11" s="8" t="s">
        <v>25</v>
      </c>
    </row>
    <row r="12" spans="1:21" x14ac:dyDescent="0.35">
      <c r="A12" s="5">
        <v>10</v>
      </c>
      <c r="B12" s="5">
        <v>17</v>
      </c>
      <c r="C12" s="6">
        <v>1061</v>
      </c>
      <c r="D12" s="6">
        <v>6</v>
      </c>
      <c r="E12" s="6">
        <v>160</v>
      </c>
      <c r="F12" s="6" t="s">
        <v>22</v>
      </c>
      <c r="G12" s="6" t="s">
        <v>23</v>
      </c>
      <c r="H12" s="6" t="s">
        <v>33</v>
      </c>
      <c r="I12" s="6" t="s">
        <v>25</v>
      </c>
      <c r="J12" s="7">
        <v>1069</v>
      </c>
      <c r="K12" s="7">
        <v>6</v>
      </c>
      <c r="L12" s="7">
        <v>160</v>
      </c>
      <c r="M12" s="7" t="s">
        <v>22</v>
      </c>
      <c r="N12" s="7" t="s">
        <v>23</v>
      </c>
      <c r="O12" s="8">
        <v>-72</v>
      </c>
      <c r="P12" s="8">
        <v>854</v>
      </c>
      <c r="Q12" s="8">
        <v>5</v>
      </c>
      <c r="R12" s="8">
        <v>160</v>
      </c>
      <c r="S12" s="8" t="s">
        <v>22</v>
      </c>
      <c r="T12" s="8" t="s">
        <v>23</v>
      </c>
      <c r="U12" s="8" t="s">
        <v>56</v>
      </c>
    </row>
    <row r="13" spans="1:21" x14ac:dyDescent="0.35">
      <c r="A13" s="5">
        <v>11</v>
      </c>
      <c r="B13" s="5">
        <v>14</v>
      </c>
      <c r="C13" s="6">
        <v>733</v>
      </c>
      <c r="D13" s="6">
        <v>4</v>
      </c>
      <c r="E13" s="6">
        <v>160</v>
      </c>
      <c r="F13" s="6" t="s">
        <v>22</v>
      </c>
      <c r="G13" s="6" t="s">
        <v>23</v>
      </c>
      <c r="H13" s="6" t="s">
        <v>25</v>
      </c>
      <c r="I13" s="6" t="s">
        <v>25</v>
      </c>
      <c r="J13" s="7">
        <v>735</v>
      </c>
      <c r="K13" s="7">
        <v>4</v>
      </c>
      <c r="L13" s="7">
        <v>160</v>
      </c>
      <c r="M13" s="7" t="s">
        <v>22</v>
      </c>
      <c r="N13" s="7" t="s">
        <v>23</v>
      </c>
      <c r="O13" s="8">
        <v>-74.7</v>
      </c>
      <c r="P13" s="8">
        <v>708</v>
      </c>
      <c r="Q13" s="8">
        <v>4</v>
      </c>
      <c r="R13" s="8">
        <v>160</v>
      </c>
      <c r="S13" s="8" t="s">
        <v>22</v>
      </c>
      <c r="T13" s="8" t="s">
        <v>23</v>
      </c>
      <c r="U13" s="8" t="s">
        <v>24</v>
      </c>
    </row>
    <row r="14" spans="1:21" x14ac:dyDescent="0.35">
      <c r="A14" s="5">
        <v>12</v>
      </c>
      <c r="B14" s="5">
        <v>11</v>
      </c>
      <c r="C14" s="6">
        <v>481</v>
      </c>
      <c r="D14" s="6">
        <v>3</v>
      </c>
      <c r="E14" s="6">
        <v>160</v>
      </c>
      <c r="F14" s="6" t="s">
        <v>22</v>
      </c>
      <c r="G14" s="6" t="s">
        <v>23</v>
      </c>
      <c r="H14" s="6" t="s">
        <v>57</v>
      </c>
      <c r="I14" s="6" t="s">
        <v>58</v>
      </c>
      <c r="J14" s="7">
        <v>514</v>
      </c>
      <c r="K14" s="7">
        <v>4</v>
      </c>
      <c r="L14" s="7">
        <v>160</v>
      </c>
      <c r="M14" s="7" t="s">
        <v>22</v>
      </c>
      <c r="N14" s="7" t="s">
        <v>23</v>
      </c>
      <c r="O14" s="8">
        <v>-77.099999999999994</v>
      </c>
      <c r="P14" s="8">
        <v>466</v>
      </c>
      <c r="Q14" s="8">
        <v>3</v>
      </c>
      <c r="R14" s="8">
        <v>160</v>
      </c>
      <c r="S14" s="8" t="s">
        <v>22</v>
      </c>
      <c r="T14" s="8" t="s">
        <v>23</v>
      </c>
      <c r="U14" s="8" t="s">
        <v>24</v>
      </c>
    </row>
    <row r="15" spans="1:21" x14ac:dyDescent="0.35">
      <c r="A15" s="5">
        <v>13</v>
      </c>
      <c r="B15" s="5">
        <v>8</v>
      </c>
      <c r="C15" s="6">
        <v>456</v>
      </c>
      <c r="D15" s="6">
        <v>3</v>
      </c>
      <c r="E15" s="6">
        <v>160</v>
      </c>
      <c r="F15" s="6" t="s">
        <v>22</v>
      </c>
      <c r="G15" s="6" t="s">
        <v>23</v>
      </c>
      <c r="H15" s="6" t="s">
        <v>56</v>
      </c>
      <c r="I15" s="6" t="s">
        <v>26</v>
      </c>
      <c r="J15" s="7">
        <v>466</v>
      </c>
      <c r="K15" s="7">
        <v>3</v>
      </c>
      <c r="L15" s="7">
        <v>160</v>
      </c>
      <c r="M15" s="7" t="s">
        <v>22</v>
      </c>
      <c r="N15" s="7" t="s">
        <v>23</v>
      </c>
      <c r="O15" s="8">
        <v>-80</v>
      </c>
      <c r="P15" s="8">
        <v>348</v>
      </c>
      <c r="Q15" s="8">
        <v>2</v>
      </c>
      <c r="R15" s="8">
        <v>160</v>
      </c>
      <c r="S15" s="8" t="s">
        <v>22</v>
      </c>
      <c r="T15" s="8" t="s">
        <v>23</v>
      </c>
      <c r="U15" s="8" t="s">
        <v>24</v>
      </c>
    </row>
    <row r="16" spans="1:21" x14ac:dyDescent="0.35">
      <c r="A16" s="5">
        <v>14</v>
      </c>
      <c r="B16" s="5">
        <v>5</v>
      </c>
      <c r="C16" s="6">
        <v>339</v>
      </c>
      <c r="D16" s="6">
        <v>2</v>
      </c>
      <c r="E16" s="6">
        <v>160</v>
      </c>
      <c r="F16" s="6" t="s">
        <v>22</v>
      </c>
      <c r="G16" s="6" t="s">
        <v>23</v>
      </c>
      <c r="H16" s="6" t="s">
        <v>29</v>
      </c>
      <c r="I16" s="6" t="s">
        <v>26</v>
      </c>
      <c r="J16" s="7">
        <v>349</v>
      </c>
      <c r="K16" s="7">
        <v>2</v>
      </c>
      <c r="L16" s="7">
        <v>160</v>
      </c>
      <c r="M16" s="7" t="s">
        <v>22</v>
      </c>
      <c r="N16" s="7" t="s">
        <v>23</v>
      </c>
      <c r="O16" s="8">
        <v>-84</v>
      </c>
      <c r="P16" s="8">
        <v>115</v>
      </c>
      <c r="Q16" s="8">
        <v>0</v>
      </c>
      <c r="R16" s="8">
        <v>160</v>
      </c>
      <c r="S16" s="8" t="s">
        <v>22</v>
      </c>
      <c r="T16" s="8" t="s">
        <v>23</v>
      </c>
      <c r="U16" s="8" t="s">
        <v>24</v>
      </c>
    </row>
    <row r="17" spans="1:21" x14ac:dyDescent="0.35">
      <c r="A17" s="5">
        <v>15</v>
      </c>
      <c r="B17" s="5">
        <v>2</v>
      </c>
      <c r="C17" s="6">
        <v>122</v>
      </c>
      <c r="D17" s="6">
        <v>0</v>
      </c>
      <c r="E17" s="6">
        <v>160</v>
      </c>
      <c r="F17" s="6" t="s">
        <v>22</v>
      </c>
      <c r="G17" s="6" t="s">
        <v>23</v>
      </c>
      <c r="H17" s="6" t="s">
        <v>25</v>
      </c>
      <c r="I17" s="6" t="s">
        <v>25</v>
      </c>
      <c r="J17" s="7">
        <v>201</v>
      </c>
      <c r="K17" s="7">
        <v>1</v>
      </c>
      <c r="L17" s="7">
        <v>160</v>
      </c>
      <c r="M17" s="7" t="s">
        <v>22</v>
      </c>
      <c r="N17" s="7" t="s">
        <v>35</v>
      </c>
      <c r="O17" s="8">
        <v>-85.2</v>
      </c>
      <c r="P17" s="8">
        <v>27</v>
      </c>
      <c r="Q17" s="8">
        <v>0</v>
      </c>
      <c r="R17" s="8">
        <v>160</v>
      </c>
      <c r="S17" s="8" t="s">
        <v>32</v>
      </c>
      <c r="T17" s="8" t="s">
        <v>23</v>
      </c>
      <c r="U17" s="8" t="s">
        <v>59</v>
      </c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6"/>
  <sheetViews>
    <sheetView workbookViewId="0"/>
  </sheetViews>
  <sheetFormatPr defaultRowHeight="14.5" x14ac:dyDescent="0.35"/>
  <sheetData>
    <row r="1" spans="1:16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12</v>
      </c>
      <c r="J1" t="s">
        <v>43</v>
      </c>
      <c r="K1" t="s">
        <v>44</v>
      </c>
      <c r="L1" t="s">
        <v>14</v>
      </c>
      <c r="M1" t="s">
        <v>45</v>
      </c>
      <c r="N1" t="s">
        <v>46</v>
      </c>
      <c r="O1" t="s">
        <v>13</v>
      </c>
      <c r="P1" t="s">
        <v>47</v>
      </c>
    </row>
    <row r="2" spans="1:16" x14ac:dyDescent="0.35">
      <c r="A2">
        <v>44</v>
      </c>
      <c r="B2">
        <v>2561</v>
      </c>
      <c r="C2">
        <v>2563</v>
      </c>
      <c r="D2">
        <v>2422</v>
      </c>
      <c r="E2">
        <v>13</v>
      </c>
      <c r="F2">
        <v>13</v>
      </c>
      <c r="G2">
        <v>13</v>
      </c>
      <c r="H2">
        <v>160</v>
      </c>
      <c r="I2">
        <v>160</v>
      </c>
      <c r="J2">
        <v>160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41</v>
      </c>
      <c r="B3">
        <v>2561</v>
      </c>
      <c r="C3">
        <v>2563</v>
      </c>
      <c r="D3">
        <v>2425</v>
      </c>
      <c r="E3">
        <v>13</v>
      </c>
      <c r="F3">
        <v>13</v>
      </c>
      <c r="G3">
        <v>13</v>
      </c>
      <c r="H3">
        <v>160</v>
      </c>
      <c r="I3">
        <v>160</v>
      </c>
      <c r="J3">
        <v>160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38</v>
      </c>
      <c r="B4">
        <v>2561</v>
      </c>
      <c r="C4">
        <v>2563</v>
      </c>
      <c r="D4">
        <v>2343</v>
      </c>
      <c r="E4">
        <v>13</v>
      </c>
      <c r="F4">
        <v>13</v>
      </c>
      <c r="G4">
        <v>13</v>
      </c>
      <c r="H4">
        <v>160</v>
      </c>
      <c r="I4">
        <v>160</v>
      </c>
      <c r="J4">
        <v>160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35</v>
      </c>
      <c r="B5">
        <v>2303</v>
      </c>
      <c r="C5">
        <v>2318</v>
      </c>
      <c r="D5">
        <v>2154</v>
      </c>
      <c r="E5">
        <v>12</v>
      </c>
      <c r="F5">
        <v>12</v>
      </c>
      <c r="G5">
        <v>12</v>
      </c>
      <c r="H5">
        <v>160</v>
      </c>
      <c r="I5">
        <v>160</v>
      </c>
      <c r="J5">
        <v>160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32</v>
      </c>
      <c r="B6">
        <v>2039</v>
      </c>
      <c r="C6">
        <v>2042</v>
      </c>
      <c r="D6">
        <v>1987</v>
      </c>
      <c r="E6">
        <v>11</v>
      </c>
      <c r="F6">
        <v>11</v>
      </c>
      <c r="G6">
        <v>11</v>
      </c>
      <c r="H6">
        <v>160</v>
      </c>
      <c r="I6">
        <v>160</v>
      </c>
      <c r="J6">
        <v>160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29</v>
      </c>
      <c r="B7">
        <v>1830</v>
      </c>
      <c r="C7">
        <v>1834</v>
      </c>
      <c r="D7">
        <v>1796</v>
      </c>
      <c r="E7">
        <v>10</v>
      </c>
      <c r="F7">
        <v>10</v>
      </c>
      <c r="G7">
        <v>10</v>
      </c>
      <c r="H7">
        <v>160</v>
      </c>
      <c r="I7">
        <v>160</v>
      </c>
      <c r="J7">
        <v>160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26</v>
      </c>
      <c r="B8">
        <v>1631</v>
      </c>
      <c r="C8">
        <v>1633</v>
      </c>
      <c r="D8">
        <v>1595</v>
      </c>
      <c r="E8">
        <v>9</v>
      </c>
      <c r="F8">
        <v>9</v>
      </c>
      <c r="G8">
        <v>9</v>
      </c>
      <c r="H8">
        <v>160</v>
      </c>
      <c r="I8">
        <v>160</v>
      </c>
      <c r="J8">
        <v>160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23</v>
      </c>
      <c r="B9">
        <v>1460</v>
      </c>
      <c r="C9">
        <v>1464</v>
      </c>
      <c r="D9">
        <v>1243</v>
      </c>
      <c r="E9">
        <v>8</v>
      </c>
      <c r="F9">
        <v>8</v>
      </c>
      <c r="G9">
        <v>8</v>
      </c>
      <c r="H9">
        <v>160</v>
      </c>
      <c r="I9">
        <v>160</v>
      </c>
      <c r="J9">
        <v>160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20</v>
      </c>
      <c r="B10">
        <v>1220</v>
      </c>
      <c r="C10">
        <v>1223</v>
      </c>
      <c r="D10">
        <v>1150</v>
      </c>
      <c r="E10">
        <v>7</v>
      </c>
      <c r="F10">
        <v>7</v>
      </c>
      <c r="G10">
        <v>7</v>
      </c>
      <c r="H10">
        <v>160</v>
      </c>
      <c r="I10">
        <v>160</v>
      </c>
      <c r="J10">
        <v>160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17</v>
      </c>
      <c r="B11">
        <v>1061</v>
      </c>
      <c r="C11">
        <v>1069</v>
      </c>
      <c r="D11">
        <v>854</v>
      </c>
      <c r="E11">
        <v>6</v>
      </c>
      <c r="F11">
        <v>6</v>
      </c>
      <c r="G11">
        <v>5</v>
      </c>
      <c r="H11">
        <v>160</v>
      </c>
      <c r="I11">
        <v>160</v>
      </c>
      <c r="J11">
        <v>160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14</v>
      </c>
      <c r="B12">
        <v>733</v>
      </c>
      <c r="C12">
        <v>735</v>
      </c>
      <c r="D12">
        <v>708</v>
      </c>
      <c r="E12">
        <v>4</v>
      </c>
      <c r="F12">
        <v>4</v>
      </c>
      <c r="G12">
        <v>4</v>
      </c>
      <c r="H12">
        <v>160</v>
      </c>
      <c r="I12">
        <v>160</v>
      </c>
      <c r="J12">
        <v>160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11</v>
      </c>
      <c r="B13">
        <v>481</v>
      </c>
      <c r="C13">
        <v>514</v>
      </c>
      <c r="D13">
        <v>466</v>
      </c>
      <c r="E13">
        <v>3</v>
      </c>
      <c r="F13">
        <v>4</v>
      </c>
      <c r="G13">
        <v>3</v>
      </c>
      <c r="H13">
        <v>160</v>
      </c>
      <c r="I13">
        <v>160</v>
      </c>
      <c r="J13">
        <v>160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8</v>
      </c>
      <c r="B14">
        <v>456</v>
      </c>
      <c r="C14">
        <v>466</v>
      </c>
      <c r="D14">
        <v>348</v>
      </c>
      <c r="E14">
        <v>3</v>
      </c>
      <c r="F14">
        <v>3</v>
      </c>
      <c r="G14">
        <v>2</v>
      </c>
      <c r="H14">
        <v>160</v>
      </c>
      <c r="I14">
        <v>160</v>
      </c>
      <c r="J14">
        <v>160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5</v>
      </c>
      <c r="B15">
        <v>339</v>
      </c>
      <c r="C15">
        <v>349</v>
      </c>
      <c r="D15">
        <v>115</v>
      </c>
      <c r="E15">
        <v>2</v>
      </c>
      <c r="F15">
        <v>2</v>
      </c>
      <c r="G15">
        <v>0</v>
      </c>
      <c r="H15">
        <v>160</v>
      </c>
      <c r="I15">
        <v>160</v>
      </c>
      <c r="J15">
        <v>160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2</v>
      </c>
    </row>
    <row r="16" spans="1:16" x14ac:dyDescent="0.35">
      <c r="A16">
        <v>2</v>
      </c>
      <c r="B16">
        <v>122</v>
      </c>
      <c r="C16">
        <v>201</v>
      </c>
      <c r="D16">
        <v>27</v>
      </c>
      <c r="E16">
        <v>0</v>
      </c>
      <c r="F16">
        <v>1</v>
      </c>
      <c r="G16">
        <v>0</v>
      </c>
      <c r="H16">
        <v>160</v>
      </c>
      <c r="I16">
        <v>160</v>
      </c>
      <c r="J16">
        <v>160</v>
      </c>
      <c r="K16">
        <v>0.8</v>
      </c>
      <c r="L16">
        <v>3.2</v>
      </c>
      <c r="M16">
        <v>0.8</v>
      </c>
      <c r="N16">
        <v>2</v>
      </c>
      <c r="O16">
        <v>2</v>
      </c>
      <c r="P16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7"/>
  <sheetViews>
    <sheetView workbookViewId="0">
      <pane ySplit="2" topLeftCell="A3" activePane="bottomLeft" state="frozen"/>
      <selection pane="bottomLeft" sqref="A1:U1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44</v>
      </c>
      <c r="C3" s="6">
        <v>5038</v>
      </c>
      <c r="D3" s="6">
        <v>13</v>
      </c>
      <c r="E3" s="6">
        <v>320</v>
      </c>
      <c r="F3" s="6" t="s">
        <v>22</v>
      </c>
      <c r="G3" s="6" t="s">
        <v>23</v>
      </c>
      <c r="H3" s="6" t="s">
        <v>24</v>
      </c>
      <c r="I3" s="6" t="s">
        <v>24</v>
      </c>
      <c r="J3" s="7">
        <v>5040</v>
      </c>
      <c r="K3" s="7">
        <v>13</v>
      </c>
      <c r="L3" s="7">
        <v>320</v>
      </c>
      <c r="M3" s="7" t="s">
        <v>22</v>
      </c>
      <c r="N3" s="7" t="s">
        <v>23</v>
      </c>
      <c r="O3" s="8">
        <v>-34.1</v>
      </c>
      <c r="P3" s="8">
        <v>4633</v>
      </c>
      <c r="Q3" s="8">
        <v>13</v>
      </c>
      <c r="R3" s="8">
        <v>320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41</v>
      </c>
      <c r="C4" s="6">
        <v>5038</v>
      </c>
      <c r="D4" s="6">
        <v>13</v>
      </c>
      <c r="E4" s="6">
        <v>320</v>
      </c>
      <c r="F4" s="6" t="s">
        <v>22</v>
      </c>
      <c r="G4" s="6" t="s">
        <v>23</v>
      </c>
      <c r="H4" s="6" t="s">
        <v>24</v>
      </c>
      <c r="I4" s="6" t="s">
        <v>24</v>
      </c>
      <c r="J4" s="7">
        <v>5040</v>
      </c>
      <c r="K4" s="7">
        <v>13</v>
      </c>
      <c r="L4" s="7">
        <v>320</v>
      </c>
      <c r="M4" s="7" t="s">
        <v>22</v>
      </c>
      <c r="N4" s="7" t="s">
        <v>23</v>
      </c>
      <c r="O4" s="8">
        <v>-37</v>
      </c>
      <c r="P4" s="8">
        <v>4433</v>
      </c>
      <c r="Q4" s="8">
        <v>13</v>
      </c>
      <c r="R4" s="8">
        <v>320</v>
      </c>
      <c r="S4" s="8" t="s">
        <v>22</v>
      </c>
      <c r="T4" s="8" t="s">
        <v>23</v>
      </c>
      <c r="U4" s="8" t="s">
        <v>26</v>
      </c>
    </row>
    <row r="5" spans="1:21" x14ac:dyDescent="0.35">
      <c r="A5" s="5">
        <v>3</v>
      </c>
      <c r="B5" s="5">
        <v>38</v>
      </c>
      <c r="C5" s="6">
        <v>5027</v>
      </c>
      <c r="D5" s="6">
        <v>13</v>
      </c>
      <c r="E5" s="6">
        <v>320</v>
      </c>
      <c r="F5" s="6" t="s">
        <v>22</v>
      </c>
      <c r="G5" s="6" t="s">
        <v>23</v>
      </c>
      <c r="H5" s="6" t="s">
        <v>24</v>
      </c>
      <c r="I5" s="6" t="s">
        <v>24</v>
      </c>
      <c r="J5" s="7">
        <v>5030</v>
      </c>
      <c r="K5" s="7">
        <v>13</v>
      </c>
      <c r="L5" s="7">
        <v>320</v>
      </c>
      <c r="M5" s="7" t="s">
        <v>22</v>
      </c>
      <c r="N5" s="7" t="s">
        <v>23</v>
      </c>
      <c r="O5" s="8">
        <v>-39.4</v>
      </c>
      <c r="P5" s="8">
        <v>4136</v>
      </c>
      <c r="Q5" s="8">
        <v>13</v>
      </c>
      <c r="R5" s="8">
        <v>320</v>
      </c>
      <c r="S5" s="8" t="s">
        <v>22</v>
      </c>
      <c r="T5" s="8" t="s">
        <v>23</v>
      </c>
      <c r="U5" s="8" t="s">
        <v>28</v>
      </c>
    </row>
    <row r="6" spans="1:21" x14ac:dyDescent="0.35">
      <c r="A6" s="5">
        <v>4</v>
      </c>
      <c r="B6" s="5">
        <v>35</v>
      </c>
      <c r="C6" s="6">
        <v>4569</v>
      </c>
      <c r="D6" s="6">
        <v>12</v>
      </c>
      <c r="E6" s="6">
        <v>320</v>
      </c>
      <c r="F6" s="6" t="s">
        <v>22</v>
      </c>
      <c r="G6" s="6" t="s">
        <v>23</v>
      </c>
      <c r="H6" s="6" t="s">
        <v>24</v>
      </c>
      <c r="I6" s="6" t="s">
        <v>24</v>
      </c>
      <c r="J6" s="7">
        <v>4572</v>
      </c>
      <c r="K6" s="7">
        <v>12</v>
      </c>
      <c r="L6" s="7">
        <v>320</v>
      </c>
      <c r="M6" s="7" t="s">
        <v>22</v>
      </c>
      <c r="N6" s="7" t="s">
        <v>23</v>
      </c>
      <c r="O6" s="8">
        <v>-43</v>
      </c>
      <c r="P6" s="8">
        <v>4090</v>
      </c>
      <c r="Q6" s="8">
        <v>12</v>
      </c>
      <c r="R6" s="8">
        <v>320</v>
      </c>
      <c r="S6" s="8" t="s">
        <v>22</v>
      </c>
      <c r="T6" s="8" t="s">
        <v>23</v>
      </c>
      <c r="U6" s="8" t="s">
        <v>24</v>
      </c>
    </row>
    <row r="7" spans="1:21" x14ac:dyDescent="0.35">
      <c r="A7" s="5">
        <v>5</v>
      </c>
      <c r="B7" s="5">
        <v>32</v>
      </c>
      <c r="C7" s="6">
        <v>4239</v>
      </c>
      <c r="D7" s="6">
        <v>11</v>
      </c>
      <c r="E7" s="6">
        <v>320</v>
      </c>
      <c r="F7" s="6" t="s">
        <v>22</v>
      </c>
      <c r="G7" s="6" t="s">
        <v>23</v>
      </c>
      <c r="H7" s="6" t="s">
        <v>24</v>
      </c>
      <c r="I7" s="6" t="s">
        <v>24</v>
      </c>
      <c r="J7" s="7">
        <v>4243</v>
      </c>
      <c r="K7" s="7">
        <v>11</v>
      </c>
      <c r="L7" s="7">
        <v>320</v>
      </c>
      <c r="M7" s="7" t="s">
        <v>22</v>
      </c>
      <c r="N7" s="7" t="s">
        <v>23</v>
      </c>
      <c r="O7" s="8">
        <v>-46.2</v>
      </c>
      <c r="P7" s="8">
        <v>3868</v>
      </c>
      <c r="Q7" s="8">
        <v>11</v>
      </c>
      <c r="R7" s="8">
        <v>320</v>
      </c>
      <c r="S7" s="8" t="s">
        <v>22</v>
      </c>
      <c r="T7" s="8" t="s">
        <v>23</v>
      </c>
      <c r="U7" s="8" t="s">
        <v>24</v>
      </c>
    </row>
    <row r="8" spans="1:21" x14ac:dyDescent="0.35">
      <c r="A8" s="5">
        <v>6</v>
      </c>
      <c r="B8" s="5">
        <v>29</v>
      </c>
      <c r="C8" s="6">
        <v>3398</v>
      </c>
      <c r="D8" s="6">
        <v>10</v>
      </c>
      <c r="E8" s="6">
        <v>320</v>
      </c>
      <c r="F8" s="6" t="s">
        <v>22</v>
      </c>
      <c r="G8" s="6" t="s">
        <v>23</v>
      </c>
      <c r="H8" s="6" t="s">
        <v>52</v>
      </c>
      <c r="I8" s="6" t="s">
        <v>26</v>
      </c>
      <c r="J8" s="7">
        <v>3445</v>
      </c>
      <c r="K8" s="7">
        <v>10</v>
      </c>
      <c r="L8" s="7">
        <v>320</v>
      </c>
      <c r="M8" s="7" t="s">
        <v>22</v>
      </c>
      <c r="N8" s="7" t="s">
        <v>23</v>
      </c>
      <c r="O8" s="8">
        <v>-49.1</v>
      </c>
      <c r="P8" s="8">
        <v>3501</v>
      </c>
      <c r="Q8" s="8">
        <v>10</v>
      </c>
      <c r="R8" s="8">
        <v>320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26</v>
      </c>
      <c r="C9" s="6">
        <v>3315</v>
      </c>
      <c r="D9" s="6">
        <v>9</v>
      </c>
      <c r="E9" s="6">
        <v>320</v>
      </c>
      <c r="F9" s="6" t="s">
        <v>22</v>
      </c>
      <c r="G9" s="6" t="s">
        <v>23</v>
      </c>
      <c r="H9" s="6" t="s">
        <v>25</v>
      </c>
      <c r="I9" s="6" t="s">
        <v>25</v>
      </c>
      <c r="J9" s="7">
        <v>3327</v>
      </c>
      <c r="K9" s="7">
        <v>9</v>
      </c>
      <c r="L9" s="7">
        <v>320</v>
      </c>
      <c r="M9" s="7" t="s">
        <v>22</v>
      </c>
      <c r="N9" s="7" t="s">
        <v>23</v>
      </c>
      <c r="O9" s="8">
        <v>-52</v>
      </c>
      <c r="P9" s="8">
        <v>3198</v>
      </c>
      <c r="Q9" s="8">
        <v>9</v>
      </c>
      <c r="R9" s="8">
        <v>320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23</v>
      </c>
      <c r="C10" s="6">
        <v>2583</v>
      </c>
      <c r="D10" s="6">
        <v>8</v>
      </c>
      <c r="E10" s="6">
        <v>320</v>
      </c>
      <c r="F10" s="6" t="s">
        <v>22</v>
      </c>
      <c r="G10" s="6" t="s">
        <v>35</v>
      </c>
      <c r="H10" s="6" t="s">
        <v>25</v>
      </c>
      <c r="I10" s="6" t="s">
        <v>49</v>
      </c>
      <c r="J10" s="7">
        <v>2720</v>
      </c>
      <c r="K10" s="7">
        <v>8</v>
      </c>
      <c r="L10" s="7">
        <v>320</v>
      </c>
      <c r="M10" s="7" t="s">
        <v>22</v>
      </c>
      <c r="N10" s="7" t="s">
        <v>23</v>
      </c>
      <c r="O10" s="8">
        <v>-55</v>
      </c>
      <c r="P10" s="8">
        <v>2364</v>
      </c>
      <c r="Q10" s="8">
        <v>7</v>
      </c>
      <c r="R10" s="8">
        <v>320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20</v>
      </c>
      <c r="C11" s="6">
        <v>2502</v>
      </c>
      <c r="D11" s="6">
        <v>7</v>
      </c>
      <c r="E11" s="6">
        <v>320</v>
      </c>
      <c r="F11" s="6" t="s">
        <v>22</v>
      </c>
      <c r="G11" s="6" t="s">
        <v>23</v>
      </c>
      <c r="H11" s="6" t="s">
        <v>26</v>
      </c>
      <c r="I11" s="6" t="s">
        <v>34</v>
      </c>
      <c r="J11" s="7">
        <v>2527</v>
      </c>
      <c r="K11" s="7">
        <v>7</v>
      </c>
      <c r="L11" s="7">
        <v>320</v>
      </c>
      <c r="M11" s="7" t="s">
        <v>22</v>
      </c>
      <c r="N11" s="7" t="s">
        <v>23</v>
      </c>
      <c r="O11" s="8">
        <v>-58</v>
      </c>
      <c r="P11" s="8">
        <v>2013</v>
      </c>
      <c r="Q11" s="8">
        <v>7</v>
      </c>
      <c r="R11" s="8">
        <v>320</v>
      </c>
      <c r="S11" s="8" t="s">
        <v>22</v>
      </c>
      <c r="T11" s="8" t="s">
        <v>23</v>
      </c>
      <c r="U11" s="8" t="s">
        <v>56</v>
      </c>
    </row>
    <row r="12" spans="1:21" x14ac:dyDescent="0.35">
      <c r="A12" s="5">
        <v>10</v>
      </c>
      <c r="B12" s="5">
        <v>17</v>
      </c>
      <c r="C12" s="6">
        <v>2064</v>
      </c>
      <c r="D12" s="6">
        <v>5</v>
      </c>
      <c r="E12" s="6">
        <v>320</v>
      </c>
      <c r="F12" s="6" t="s">
        <v>22</v>
      </c>
      <c r="G12" s="6" t="s">
        <v>23</v>
      </c>
      <c r="H12" s="6" t="s">
        <v>24</v>
      </c>
      <c r="I12" s="6" t="s">
        <v>24</v>
      </c>
      <c r="J12" s="7">
        <v>2068</v>
      </c>
      <c r="K12" s="7">
        <v>5</v>
      </c>
      <c r="L12" s="7">
        <v>320</v>
      </c>
      <c r="M12" s="7" t="s">
        <v>22</v>
      </c>
      <c r="N12" s="7" t="s">
        <v>23</v>
      </c>
      <c r="O12" s="8">
        <v>-61</v>
      </c>
      <c r="P12" s="8">
        <v>1633</v>
      </c>
      <c r="Q12" s="8">
        <v>5</v>
      </c>
      <c r="R12" s="8">
        <v>320</v>
      </c>
      <c r="S12" s="8" t="s">
        <v>22</v>
      </c>
      <c r="T12" s="8" t="s">
        <v>23</v>
      </c>
      <c r="U12" s="8" t="s">
        <v>57</v>
      </c>
    </row>
    <row r="13" spans="1:21" x14ac:dyDescent="0.35">
      <c r="A13" s="5">
        <v>11</v>
      </c>
      <c r="B13" s="5">
        <v>14</v>
      </c>
      <c r="C13" s="6">
        <v>1509</v>
      </c>
      <c r="D13" s="6">
        <v>4</v>
      </c>
      <c r="E13" s="6">
        <v>320</v>
      </c>
      <c r="F13" s="6" t="s">
        <v>22</v>
      </c>
      <c r="G13" s="6" t="s">
        <v>23</v>
      </c>
      <c r="H13" s="6" t="s">
        <v>24</v>
      </c>
      <c r="I13" s="6" t="s">
        <v>24</v>
      </c>
      <c r="J13" s="7">
        <v>1511</v>
      </c>
      <c r="K13" s="7">
        <v>4</v>
      </c>
      <c r="L13" s="7">
        <v>320</v>
      </c>
      <c r="M13" s="7" t="s">
        <v>22</v>
      </c>
      <c r="N13" s="7" t="s">
        <v>23</v>
      </c>
      <c r="O13" s="8">
        <v>-64</v>
      </c>
      <c r="P13" s="8">
        <v>1385</v>
      </c>
      <c r="Q13" s="8">
        <v>4</v>
      </c>
      <c r="R13" s="8">
        <v>320</v>
      </c>
      <c r="S13" s="8" t="s">
        <v>22</v>
      </c>
      <c r="T13" s="8" t="s">
        <v>23</v>
      </c>
      <c r="U13" s="8" t="s">
        <v>25</v>
      </c>
    </row>
    <row r="14" spans="1:21" x14ac:dyDescent="0.35">
      <c r="A14" s="5">
        <v>12</v>
      </c>
      <c r="B14" s="5">
        <v>11</v>
      </c>
      <c r="C14" s="6">
        <v>1020</v>
      </c>
      <c r="D14" s="6">
        <v>3</v>
      </c>
      <c r="E14" s="6">
        <v>320</v>
      </c>
      <c r="F14" s="6" t="s">
        <v>22</v>
      </c>
      <c r="G14" s="6" t="s">
        <v>23</v>
      </c>
      <c r="H14" s="6" t="s">
        <v>25</v>
      </c>
      <c r="I14" s="6" t="s">
        <v>24</v>
      </c>
      <c r="J14" s="7">
        <v>1024</v>
      </c>
      <c r="K14" s="7">
        <v>3</v>
      </c>
      <c r="L14" s="7">
        <v>320</v>
      </c>
      <c r="M14" s="7" t="s">
        <v>22</v>
      </c>
      <c r="N14" s="7" t="s">
        <v>23</v>
      </c>
      <c r="O14" s="8">
        <v>-67</v>
      </c>
      <c r="P14" s="8">
        <v>916</v>
      </c>
      <c r="Q14" s="8">
        <v>3</v>
      </c>
      <c r="R14" s="8">
        <v>320</v>
      </c>
      <c r="S14" s="8" t="s">
        <v>22</v>
      </c>
      <c r="T14" s="8" t="s">
        <v>23</v>
      </c>
      <c r="U14" s="8" t="s">
        <v>25</v>
      </c>
    </row>
    <row r="15" spans="1:21" x14ac:dyDescent="0.35">
      <c r="A15" s="5">
        <v>13</v>
      </c>
      <c r="B15" s="5">
        <v>8</v>
      </c>
      <c r="C15" s="6">
        <v>764</v>
      </c>
      <c r="D15" s="6">
        <v>2</v>
      </c>
      <c r="E15" s="6">
        <v>320</v>
      </c>
      <c r="F15" s="6" t="s">
        <v>22</v>
      </c>
      <c r="G15" s="6" t="s">
        <v>23</v>
      </c>
      <c r="H15" s="6" t="s">
        <v>34</v>
      </c>
      <c r="I15" s="6" t="s">
        <v>34</v>
      </c>
      <c r="J15" s="7">
        <v>780</v>
      </c>
      <c r="K15" s="7">
        <v>2</v>
      </c>
      <c r="L15" s="7">
        <v>320</v>
      </c>
      <c r="M15" s="7" t="s">
        <v>22</v>
      </c>
      <c r="N15" s="7" t="s">
        <v>23</v>
      </c>
      <c r="O15" s="8">
        <v>-70</v>
      </c>
      <c r="P15" s="8">
        <v>681</v>
      </c>
      <c r="Q15" s="8">
        <v>2</v>
      </c>
      <c r="R15" s="8">
        <v>320</v>
      </c>
      <c r="S15" s="8" t="s">
        <v>22</v>
      </c>
      <c r="T15" s="8" t="s">
        <v>23</v>
      </c>
      <c r="U15" s="8" t="s">
        <v>26</v>
      </c>
    </row>
    <row r="16" spans="1:21" x14ac:dyDescent="0.35">
      <c r="A16" s="5">
        <v>14</v>
      </c>
      <c r="B16" s="5">
        <v>5</v>
      </c>
      <c r="C16" s="6">
        <v>488</v>
      </c>
      <c r="D16" s="6">
        <v>1</v>
      </c>
      <c r="E16" s="6">
        <v>320</v>
      </c>
      <c r="F16" s="6" t="s">
        <v>22</v>
      </c>
      <c r="G16" s="6" t="s">
        <v>23</v>
      </c>
      <c r="H16" s="6" t="s">
        <v>25</v>
      </c>
      <c r="I16" s="6" t="s">
        <v>25</v>
      </c>
      <c r="J16" s="7">
        <v>491</v>
      </c>
      <c r="K16" s="7">
        <v>1</v>
      </c>
      <c r="L16" s="7">
        <v>320</v>
      </c>
      <c r="M16" s="7" t="s">
        <v>22</v>
      </c>
      <c r="N16" s="7" t="s">
        <v>23</v>
      </c>
      <c r="O16" s="8">
        <v>-73</v>
      </c>
      <c r="P16" s="8">
        <v>440</v>
      </c>
      <c r="Q16" s="8">
        <v>1</v>
      </c>
      <c r="R16" s="8">
        <v>320</v>
      </c>
      <c r="S16" s="8" t="s">
        <v>22</v>
      </c>
      <c r="T16" s="8" t="s">
        <v>23</v>
      </c>
      <c r="U16" s="8" t="s">
        <v>26</v>
      </c>
    </row>
    <row r="17" spans="1:21" x14ac:dyDescent="0.35">
      <c r="A17" s="5">
        <v>15</v>
      </c>
      <c r="B17" s="5">
        <v>2</v>
      </c>
      <c r="C17" s="6">
        <v>258</v>
      </c>
      <c r="D17" s="6">
        <v>1</v>
      </c>
      <c r="E17" s="6">
        <v>320</v>
      </c>
      <c r="F17" s="6" t="s">
        <v>32</v>
      </c>
      <c r="G17" s="6" t="s">
        <v>23</v>
      </c>
      <c r="H17" s="6" t="s">
        <v>26</v>
      </c>
      <c r="I17" s="6" t="s">
        <v>30</v>
      </c>
      <c r="J17" s="7">
        <v>264</v>
      </c>
      <c r="K17" s="7">
        <v>1</v>
      </c>
      <c r="L17" s="7">
        <v>320</v>
      </c>
      <c r="M17" s="7" t="s">
        <v>32</v>
      </c>
      <c r="N17" s="7" t="s">
        <v>23</v>
      </c>
      <c r="O17" s="8">
        <v>-75.5</v>
      </c>
      <c r="P17" s="8">
        <v>225</v>
      </c>
      <c r="Q17" s="8">
        <v>1</v>
      </c>
      <c r="R17" s="8">
        <v>320</v>
      </c>
      <c r="S17" s="8" t="s">
        <v>32</v>
      </c>
      <c r="T17" s="8" t="s">
        <v>23</v>
      </c>
      <c r="U17" s="8" t="s">
        <v>26</v>
      </c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6"/>
  <sheetViews>
    <sheetView workbookViewId="0"/>
  </sheetViews>
  <sheetFormatPr defaultRowHeight="14.5" x14ac:dyDescent="0.35"/>
  <sheetData>
    <row r="1" spans="1:16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12</v>
      </c>
      <c r="J1" t="s">
        <v>43</v>
      </c>
      <c r="K1" t="s">
        <v>44</v>
      </c>
      <c r="L1" t="s">
        <v>14</v>
      </c>
      <c r="M1" t="s">
        <v>45</v>
      </c>
      <c r="N1" t="s">
        <v>46</v>
      </c>
      <c r="O1" t="s">
        <v>13</v>
      </c>
      <c r="P1" t="s">
        <v>47</v>
      </c>
    </row>
    <row r="2" spans="1:16" x14ac:dyDescent="0.35">
      <c r="A2">
        <v>44</v>
      </c>
      <c r="B2">
        <v>5038</v>
      </c>
      <c r="C2">
        <v>5040</v>
      </c>
      <c r="D2">
        <v>4633</v>
      </c>
      <c r="E2">
        <v>13</v>
      </c>
      <c r="F2">
        <v>13</v>
      </c>
      <c r="G2">
        <v>13</v>
      </c>
      <c r="H2">
        <v>320</v>
      </c>
      <c r="I2">
        <v>320</v>
      </c>
      <c r="J2">
        <v>320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41</v>
      </c>
      <c r="B3">
        <v>5038</v>
      </c>
      <c r="C3">
        <v>5040</v>
      </c>
      <c r="D3">
        <v>4433</v>
      </c>
      <c r="E3">
        <v>13</v>
      </c>
      <c r="F3">
        <v>13</v>
      </c>
      <c r="G3">
        <v>13</v>
      </c>
      <c r="H3">
        <v>320</v>
      </c>
      <c r="I3">
        <v>320</v>
      </c>
      <c r="J3">
        <v>320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38</v>
      </c>
      <c r="B4">
        <v>5027</v>
      </c>
      <c r="C4">
        <v>5030</v>
      </c>
      <c r="D4">
        <v>4136</v>
      </c>
      <c r="E4">
        <v>13</v>
      </c>
      <c r="F4">
        <v>13</v>
      </c>
      <c r="G4">
        <v>13</v>
      </c>
      <c r="H4">
        <v>320</v>
      </c>
      <c r="I4">
        <v>320</v>
      </c>
      <c r="J4">
        <v>320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35</v>
      </c>
      <c r="B5">
        <v>4569</v>
      </c>
      <c r="C5">
        <v>4572</v>
      </c>
      <c r="D5">
        <v>4090</v>
      </c>
      <c r="E5">
        <v>12</v>
      </c>
      <c r="F5">
        <v>12</v>
      </c>
      <c r="G5">
        <v>12</v>
      </c>
      <c r="H5">
        <v>320</v>
      </c>
      <c r="I5">
        <v>320</v>
      </c>
      <c r="J5">
        <v>320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32</v>
      </c>
      <c r="B6">
        <v>4239</v>
      </c>
      <c r="C6">
        <v>4243</v>
      </c>
      <c r="D6">
        <v>3868</v>
      </c>
      <c r="E6">
        <v>11</v>
      </c>
      <c r="F6">
        <v>11</v>
      </c>
      <c r="G6">
        <v>11</v>
      </c>
      <c r="H6">
        <v>320</v>
      </c>
      <c r="I6">
        <v>320</v>
      </c>
      <c r="J6">
        <v>320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29</v>
      </c>
      <c r="B7">
        <v>3398</v>
      </c>
      <c r="C7">
        <v>3445</v>
      </c>
      <c r="D7">
        <v>3501</v>
      </c>
      <c r="E7">
        <v>10</v>
      </c>
      <c r="F7">
        <v>10</v>
      </c>
      <c r="G7">
        <v>10</v>
      </c>
      <c r="H7">
        <v>320</v>
      </c>
      <c r="I7">
        <v>320</v>
      </c>
      <c r="J7">
        <v>320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26</v>
      </c>
      <c r="B8">
        <v>3315</v>
      </c>
      <c r="C8">
        <v>3327</v>
      </c>
      <c r="D8">
        <v>3198</v>
      </c>
      <c r="E8">
        <v>9</v>
      </c>
      <c r="F8">
        <v>9</v>
      </c>
      <c r="G8">
        <v>9</v>
      </c>
      <c r="H8">
        <v>320</v>
      </c>
      <c r="I8">
        <v>320</v>
      </c>
      <c r="J8">
        <v>320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23</v>
      </c>
      <c r="B9">
        <v>2583</v>
      </c>
      <c r="C9">
        <v>2720</v>
      </c>
      <c r="D9">
        <v>2364</v>
      </c>
      <c r="E9">
        <v>8</v>
      </c>
      <c r="F9">
        <v>8</v>
      </c>
      <c r="G9">
        <v>7</v>
      </c>
      <c r="H9">
        <v>320</v>
      </c>
      <c r="I9">
        <v>320</v>
      </c>
      <c r="J9">
        <v>320</v>
      </c>
      <c r="K9">
        <v>3.2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20</v>
      </c>
      <c r="B10">
        <v>2502</v>
      </c>
      <c r="C10">
        <v>2527</v>
      </c>
      <c r="D10">
        <v>2013</v>
      </c>
      <c r="E10">
        <v>7</v>
      </c>
      <c r="F10">
        <v>7</v>
      </c>
      <c r="G10">
        <v>7</v>
      </c>
      <c r="H10">
        <v>320</v>
      </c>
      <c r="I10">
        <v>320</v>
      </c>
      <c r="J10">
        <v>320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17</v>
      </c>
      <c r="B11">
        <v>2064</v>
      </c>
      <c r="C11">
        <v>2068</v>
      </c>
      <c r="D11">
        <v>1633</v>
      </c>
      <c r="E11">
        <v>5</v>
      </c>
      <c r="F11">
        <v>5</v>
      </c>
      <c r="G11">
        <v>5</v>
      </c>
      <c r="H11">
        <v>320</v>
      </c>
      <c r="I11">
        <v>320</v>
      </c>
      <c r="J11">
        <v>320</v>
      </c>
      <c r="K11">
        <v>0.8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14</v>
      </c>
      <c r="B12">
        <v>1509</v>
      </c>
      <c r="C12">
        <v>1511</v>
      </c>
      <c r="D12">
        <v>1385</v>
      </c>
      <c r="E12">
        <v>4</v>
      </c>
      <c r="F12">
        <v>4</v>
      </c>
      <c r="G12">
        <v>4</v>
      </c>
      <c r="H12">
        <v>320</v>
      </c>
      <c r="I12">
        <v>320</v>
      </c>
      <c r="J12">
        <v>320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11</v>
      </c>
      <c r="B13">
        <v>1020</v>
      </c>
      <c r="C13">
        <v>1024</v>
      </c>
      <c r="D13">
        <v>916</v>
      </c>
      <c r="E13">
        <v>3</v>
      </c>
      <c r="F13">
        <v>3</v>
      </c>
      <c r="G13">
        <v>3</v>
      </c>
      <c r="H13">
        <v>320</v>
      </c>
      <c r="I13">
        <v>320</v>
      </c>
      <c r="J13">
        <v>320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8</v>
      </c>
      <c r="B14">
        <v>764</v>
      </c>
      <c r="C14">
        <v>780</v>
      </c>
      <c r="D14">
        <v>681</v>
      </c>
      <c r="E14">
        <v>2</v>
      </c>
      <c r="F14">
        <v>2</v>
      </c>
      <c r="G14">
        <v>2</v>
      </c>
      <c r="H14">
        <v>320</v>
      </c>
      <c r="I14">
        <v>320</v>
      </c>
      <c r="J14">
        <v>320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5</v>
      </c>
      <c r="B15">
        <v>488</v>
      </c>
      <c r="C15">
        <v>491</v>
      </c>
      <c r="D15">
        <v>440</v>
      </c>
      <c r="E15">
        <v>1</v>
      </c>
      <c r="F15">
        <v>1</v>
      </c>
      <c r="G15">
        <v>1</v>
      </c>
      <c r="H15">
        <v>320</v>
      </c>
      <c r="I15">
        <v>320</v>
      </c>
      <c r="J15">
        <v>320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2</v>
      </c>
    </row>
    <row r="16" spans="1:16" x14ac:dyDescent="0.35">
      <c r="A16">
        <v>2</v>
      </c>
      <c r="B16">
        <v>258</v>
      </c>
      <c r="C16">
        <v>264</v>
      </c>
      <c r="D16">
        <v>225</v>
      </c>
      <c r="E16">
        <v>1</v>
      </c>
      <c r="F16">
        <v>1</v>
      </c>
      <c r="G16">
        <v>1</v>
      </c>
      <c r="H16">
        <v>320</v>
      </c>
      <c r="I16">
        <v>320</v>
      </c>
      <c r="J16">
        <v>320</v>
      </c>
      <c r="K16">
        <v>0.8</v>
      </c>
      <c r="L16">
        <v>0.8</v>
      </c>
      <c r="M16">
        <v>0.8</v>
      </c>
      <c r="N16">
        <v>1</v>
      </c>
      <c r="O16">
        <v>1</v>
      </c>
      <c r="P16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Charts 20MHz</vt:lpstr>
      <vt:lpstr>Charts 40MHz</vt:lpstr>
      <vt:lpstr>Charts 80MHz</vt:lpstr>
      <vt:lpstr>Charts 160MHz</vt:lpstr>
      <vt:lpstr>Charts 320MHz</vt:lpstr>
      <vt:lpstr>RSSI to SNR</vt:lpstr>
      <vt:lpstr>TVA 20MHz</vt:lpstr>
      <vt:lpstr>Data 20MHz</vt:lpstr>
      <vt:lpstr>TVA 40MHz</vt:lpstr>
      <vt:lpstr>Data 40MHz</vt:lpstr>
      <vt:lpstr>TVA 80MHz</vt:lpstr>
      <vt:lpstr>Data 80MHz</vt:lpstr>
      <vt:lpstr>TVA 160MHz</vt:lpstr>
      <vt:lpstr>Data 160MHz</vt:lpstr>
      <vt:lpstr>TVA 320MHz</vt:lpstr>
      <vt:lpstr>Data 320MHz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Isack, Efrat</cp:lastModifiedBy>
  <dcterms:created xsi:type="dcterms:W3CDTF">2026-09-09T09:07:42Z</dcterms:created>
  <dcterms:modified xsi:type="dcterms:W3CDTF">2026-09-09T10:07:59Z</dcterms:modified>
</cp:coreProperties>
</file>